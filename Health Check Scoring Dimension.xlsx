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c6cd885c3c8140/Freelance Portugal 2026/Power BI Health Check tool/"/>
    </mc:Choice>
  </mc:AlternateContent>
  <xr:revisionPtr revIDLastSave="57" documentId="8_{9B509B3C-CE9C-4E4B-8221-CB6094980136}" xr6:coauthVersionLast="47" xr6:coauthVersionMax="47" xr10:uidLastSave="{BFF630CF-32AC-4918-B16B-E9A3008B4FAB}"/>
  <bookViews>
    <workbookView xWindow="-108" yWindow="-108" windowWidth="23256" windowHeight="12576" xr2:uid="{BDD7ADA1-7902-43EF-92B2-1A417B3FF5D8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N3" i="5" s="1" a="1"/>
  <c r="N3" i="5" s="1"/>
  <c r="M4" i="5"/>
  <c r="N4" i="5" a="1"/>
  <c r="N4" i="5" s="1"/>
  <c r="M5" i="5"/>
  <c r="N5" i="5" a="1"/>
  <c r="N5" i="5" s="1"/>
  <c r="M6" i="5"/>
  <c r="N6" i="5" a="1"/>
  <c r="N6" i="5" s="1"/>
  <c r="M7" i="5"/>
  <c r="N7" i="5" s="1" a="1"/>
  <c r="N7" i="5" s="1"/>
  <c r="M8" i="5"/>
  <c r="N8" i="5" a="1"/>
  <c r="N8" i="5" s="1"/>
  <c r="M9" i="5"/>
  <c r="N9" i="5" a="1"/>
  <c r="N9" i="5" s="1"/>
  <c r="M10" i="5"/>
  <c r="N10" i="5" a="1"/>
  <c r="N10" i="5" s="1"/>
  <c r="M11" i="5"/>
  <c r="N11" i="5" s="1" a="1"/>
  <c r="N11" i="5" s="1"/>
  <c r="M12" i="5"/>
  <c r="N12" i="5" a="1"/>
  <c r="N12" i="5" s="1"/>
  <c r="M13" i="5"/>
  <c r="N13" i="5" a="1"/>
  <c r="N13" i="5" s="1"/>
  <c r="M14" i="5"/>
  <c r="N14" i="5" a="1"/>
  <c r="N14" i="5" s="1"/>
  <c r="M15" i="5"/>
  <c r="N15" i="5" s="1" a="1"/>
  <c r="N15" i="5" s="1"/>
  <c r="M16" i="5"/>
  <c r="N16" i="5" a="1"/>
  <c r="N16" i="5" s="1"/>
  <c r="M17" i="5"/>
  <c r="N17" i="5" a="1"/>
  <c r="N17" i="5" s="1"/>
  <c r="M18" i="5"/>
  <c r="N18" i="5" a="1"/>
  <c r="N18" i="5" s="1"/>
  <c r="M19" i="5"/>
  <c r="N19" i="5" s="1" a="1"/>
  <c r="N19" i="5" s="1"/>
  <c r="M20" i="5"/>
  <c r="N20" i="5" a="1"/>
  <c r="N20" i="5" s="1"/>
  <c r="M21" i="5"/>
  <c r="N21" i="5" a="1"/>
  <c r="N21" i="5" s="1"/>
  <c r="M22" i="5"/>
  <c r="N22" i="5" a="1"/>
  <c r="N22" i="5" s="1"/>
  <c r="M23" i="5"/>
  <c r="N23" i="5" s="1" a="1"/>
  <c r="N23" i="5" s="1"/>
  <c r="M24" i="5"/>
  <c r="N24" i="5" a="1"/>
  <c r="N24" i="5" s="1"/>
  <c r="M25" i="5"/>
  <c r="N25" i="5" a="1"/>
  <c r="N25" i="5" s="1"/>
  <c r="M26" i="5"/>
  <c r="N26" i="5" a="1"/>
  <c r="N26" i="5" s="1"/>
  <c r="M27" i="5"/>
  <c r="N27" i="5" s="1" a="1"/>
  <c r="N27" i="5" s="1"/>
  <c r="M28" i="5"/>
  <c r="N28" i="5" a="1"/>
  <c r="N28" i="5" s="1"/>
  <c r="M29" i="5"/>
  <c r="N29" i="5" a="1"/>
  <c r="N29" i="5" s="1"/>
  <c r="M30" i="5"/>
  <c r="N30" i="5" a="1"/>
  <c r="N30" i="5" s="1"/>
  <c r="M31" i="5"/>
  <c r="N31" i="5" s="1" a="1"/>
  <c r="N31" i="5" s="1"/>
  <c r="M32" i="5"/>
  <c r="N32" i="5" a="1"/>
  <c r="N32" i="5" s="1"/>
  <c r="M33" i="5"/>
  <c r="N33" i="5" a="1"/>
  <c r="N33" i="5" s="1"/>
  <c r="M34" i="5"/>
  <c r="N34" i="5" a="1"/>
  <c r="N34" i="5" s="1"/>
  <c r="M35" i="5"/>
  <c r="N35" i="5" s="1" a="1"/>
  <c r="N35" i="5" s="1"/>
  <c r="M36" i="5"/>
  <c r="N36" i="5" a="1"/>
  <c r="N36" i="5" s="1"/>
  <c r="M37" i="5"/>
  <c r="N37" i="5" a="1"/>
  <c r="N37" i="5" s="1"/>
  <c r="M38" i="5"/>
  <c r="N38" i="5" a="1"/>
  <c r="N38" i="5" s="1"/>
  <c r="M39" i="5"/>
  <c r="N39" i="5" s="1" a="1"/>
  <c r="N39" i="5" s="1"/>
  <c r="M40" i="5"/>
  <c r="N40" i="5" a="1"/>
  <c r="N40" i="5" s="1"/>
  <c r="M41" i="5"/>
  <c r="N41" i="5" a="1"/>
  <c r="N41" i="5" s="1"/>
  <c r="M42" i="5"/>
  <c r="N42" i="5" a="1"/>
  <c r="N42" i="5" s="1"/>
  <c r="M43" i="5"/>
  <c r="N43" i="5" s="1" a="1"/>
  <c r="N43" i="5" s="1"/>
  <c r="M44" i="5"/>
  <c r="N44" i="5" a="1"/>
  <c r="N44" i="5" s="1"/>
  <c r="M45" i="5"/>
  <c r="N45" i="5" a="1"/>
  <c r="N45" i="5" s="1"/>
  <c r="M46" i="5"/>
  <c r="N46" i="5" a="1"/>
  <c r="N46" i="5" s="1"/>
  <c r="M47" i="5"/>
  <c r="N47" i="5" s="1" a="1"/>
  <c r="N47" i="5" s="1"/>
  <c r="M48" i="5"/>
  <c r="N48" i="5" a="1"/>
  <c r="N48" i="5" s="1"/>
  <c r="M49" i="5"/>
  <c r="N49" i="5" a="1"/>
  <c r="N49" i="5" s="1"/>
  <c r="M50" i="5"/>
  <c r="N50" i="5" a="1"/>
  <c r="N50" i="5" s="1"/>
  <c r="M51" i="5"/>
  <c r="N51" i="5" s="1" a="1"/>
  <c r="N51" i="5" s="1"/>
  <c r="M52" i="5"/>
  <c r="N52" i="5" a="1"/>
  <c r="N52" i="5" s="1"/>
  <c r="M53" i="5"/>
  <c r="N53" i="5" a="1"/>
  <c r="N53" i="5" s="1"/>
  <c r="M54" i="5"/>
  <c r="N54" i="5" a="1"/>
  <c r="N54" i="5" s="1"/>
  <c r="M55" i="5"/>
  <c r="N55" i="5" a="1"/>
  <c r="N55" i="5" s="1"/>
  <c r="M56" i="5"/>
  <c r="N56" i="5" a="1"/>
  <c r="N56" i="5" s="1"/>
  <c r="M57" i="5"/>
  <c r="N57" i="5" a="1"/>
  <c r="N57" i="5" s="1"/>
  <c r="M58" i="5"/>
  <c r="N58" i="5" a="1"/>
  <c r="N58" i="5" s="1"/>
  <c r="M59" i="5"/>
  <c r="N59" i="5" a="1"/>
  <c r="N59" i="5" s="1"/>
  <c r="M60" i="5"/>
  <c r="N60" i="5" a="1"/>
  <c r="N60" i="5" s="1"/>
  <c r="M61" i="5"/>
  <c r="N61" i="5" a="1"/>
  <c r="N61" i="5" s="1"/>
  <c r="M62" i="5"/>
  <c r="N62" i="5" a="1"/>
  <c r="N62" i="5" s="1"/>
  <c r="M63" i="5"/>
  <c r="N63" i="5" a="1"/>
  <c r="N63" i="5" s="1"/>
  <c r="M64" i="5"/>
  <c r="N64" i="5" a="1"/>
  <c r="N64" i="5" s="1"/>
  <c r="M65" i="5"/>
  <c r="N65" i="5" a="1"/>
  <c r="N65" i="5" s="1"/>
  <c r="M66" i="5"/>
  <c r="N66" i="5" a="1"/>
  <c r="N66" i="5" s="1"/>
  <c r="M67" i="5"/>
  <c r="N67" i="5" a="1"/>
  <c r="N67" i="5" s="1"/>
  <c r="M68" i="5"/>
  <c r="N68" i="5" a="1"/>
  <c r="N68" i="5" s="1"/>
  <c r="M69" i="5"/>
  <c r="N69" i="5" a="1"/>
  <c r="N69" i="5" s="1"/>
  <c r="M70" i="5"/>
  <c r="N70" i="5" a="1"/>
  <c r="N70" i="5" s="1"/>
  <c r="M71" i="5"/>
  <c r="N71" i="5" a="1"/>
  <c r="N71" i="5" s="1"/>
  <c r="M72" i="5"/>
  <c r="N72" i="5" a="1"/>
  <c r="N72" i="5" s="1"/>
  <c r="M73" i="5"/>
  <c r="N73" i="5" a="1"/>
  <c r="N73" i="5" s="1"/>
  <c r="M74" i="5"/>
  <c r="N74" i="5" a="1"/>
  <c r="N74" i="5" s="1"/>
  <c r="M75" i="5"/>
  <c r="N75" i="5" a="1"/>
  <c r="N75" i="5" s="1"/>
  <c r="M76" i="5"/>
  <c r="N76" i="5" a="1"/>
  <c r="N76" i="5" s="1"/>
  <c r="M77" i="5"/>
  <c r="N77" i="5" a="1"/>
  <c r="N77" i="5" s="1"/>
  <c r="M78" i="5"/>
  <c r="N78" i="5" a="1"/>
  <c r="N78" i="5" s="1"/>
  <c r="M79" i="5"/>
  <c r="N79" i="5" a="1"/>
  <c r="N79" i="5" s="1"/>
  <c r="M80" i="5"/>
  <c r="N80" i="5" a="1"/>
  <c r="N80" i="5" s="1"/>
  <c r="M81" i="5"/>
  <c r="N81" i="5" a="1"/>
  <c r="N81" i="5" s="1"/>
  <c r="M82" i="5"/>
  <c r="N82" i="5" a="1"/>
  <c r="N82" i="5" s="1"/>
  <c r="M83" i="5"/>
  <c r="N83" i="5" a="1"/>
  <c r="N83" i="5" s="1"/>
  <c r="M84" i="5"/>
  <c r="N84" i="5" a="1"/>
  <c r="N84" i="5" s="1"/>
  <c r="M85" i="5"/>
  <c r="N85" i="5" a="1"/>
  <c r="N85" i="5" s="1"/>
  <c r="M86" i="5"/>
  <c r="N86" i="5" a="1"/>
  <c r="N86" i="5" s="1"/>
  <c r="M87" i="5"/>
  <c r="N87" i="5" a="1"/>
  <c r="N87" i="5" s="1"/>
  <c r="M88" i="5"/>
  <c r="N88" i="5" a="1"/>
  <c r="N88" i="5" s="1"/>
  <c r="M89" i="5"/>
  <c r="N89" i="5" a="1"/>
  <c r="N89" i="5" s="1"/>
  <c r="M90" i="5"/>
  <c r="N90" i="5" a="1"/>
  <c r="N90" i="5" s="1"/>
  <c r="M91" i="5"/>
  <c r="N91" i="5" a="1"/>
  <c r="N91" i="5" s="1"/>
  <c r="M92" i="5"/>
  <c r="N92" i="5" a="1"/>
  <c r="N92" i="5" s="1"/>
  <c r="M93" i="5"/>
  <c r="N93" i="5" a="1"/>
  <c r="N93" i="5" s="1"/>
  <c r="M94" i="5"/>
  <c r="N94" i="5" a="1"/>
  <c r="N94" i="5" s="1"/>
  <c r="M95" i="5"/>
  <c r="N95" i="5" a="1"/>
  <c r="N95" i="5" s="1"/>
  <c r="M96" i="5"/>
  <c r="N96" i="5" a="1"/>
  <c r="N96" i="5" s="1"/>
  <c r="M97" i="5"/>
  <c r="N97" i="5" a="1"/>
  <c r="N97" i="5" s="1"/>
  <c r="M98" i="5"/>
  <c r="N98" i="5" a="1"/>
  <c r="N98" i="5" s="1"/>
  <c r="M99" i="5"/>
  <c r="N99" i="5" a="1"/>
  <c r="N99" i="5" s="1"/>
  <c r="M100" i="5"/>
  <c r="N100" i="5" a="1"/>
  <c r="N100" i="5" s="1"/>
  <c r="M101" i="5"/>
  <c r="N101" i="5" a="1"/>
  <c r="N101" i="5" s="1"/>
  <c r="M102" i="5"/>
  <c r="N102" i="5" a="1"/>
  <c r="N102" i="5" s="1"/>
  <c r="M103" i="5"/>
  <c r="N103" i="5" a="1"/>
  <c r="N103" i="5" s="1"/>
  <c r="M104" i="5"/>
  <c r="N104" i="5" a="1"/>
  <c r="N104" i="5" s="1"/>
  <c r="M105" i="5"/>
  <c r="N105" i="5" a="1"/>
  <c r="N105" i="5" s="1"/>
  <c r="M106" i="5"/>
  <c r="N106" i="5" a="1"/>
  <c r="N106" i="5" s="1"/>
  <c r="M107" i="5"/>
  <c r="N107" i="5" a="1"/>
  <c r="N107" i="5" s="1"/>
  <c r="M108" i="5"/>
  <c r="N108" i="5" a="1"/>
  <c r="N108" i="5" s="1"/>
  <c r="M109" i="5"/>
  <c r="N109" i="5" a="1"/>
  <c r="N109" i="5" s="1"/>
  <c r="M110" i="5"/>
  <c r="N110" i="5" a="1"/>
  <c r="N110" i="5" s="1"/>
  <c r="M111" i="5"/>
  <c r="N111" i="5" a="1"/>
  <c r="N111" i="5" s="1"/>
  <c r="M112" i="5"/>
  <c r="N112" i="5" a="1"/>
  <c r="N112" i="5" s="1"/>
  <c r="M113" i="5"/>
  <c r="N113" i="5" a="1"/>
  <c r="N113" i="5" s="1"/>
  <c r="M114" i="5"/>
  <c r="N114" i="5" a="1"/>
  <c r="N114" i="5" s="1"/>
  <c r="M115" i="5"/>
  <c r="N115" i="5" a="1"/>
  <c r="N115" i="5" s="1"/>
  <c r="M116" i="5"/>
  <c r="N116" i="5" a="1"/>
  <c r="N116" i="5" s="1"/>
  <c r="M117" i="5"/>
  <c r="N117" i="5" a="1"/>
  <c r="N117" i="5" s="1"/>
  <c r="M118" i="5"/>
  <c r="N118" i="5" a="1"/>
  <c r="N118" i="5" s="1"/>
  <c r="M119" i="5"/>
  <c r="N119" i="5" a="1"/>
  <c r="N119" i="5" s="1"/>
  <c r="M120" i="5"/>
  <c r="N120" i="5" a="1"/>
  <c r="N120" i="5" s="1"/>
  <c r="M121" i="5"/>
  <c r="N121" i="5" a="1"/>
  <c r="N121" i="5" s="1"/>
  <c r="M122" i="5"/>
  <c r="N122" i="5" a="1"/>
  <c r="N122" i="5" s="1"/>
  <c r="M123" i="5"/>
  <c r="N123" i="5" a="1"/>
  <c r="N123" i="5" s="1"/>
  <c r="M124" i="5"/>
  <c r="N124" i="5" a="1"/>
  <c r="N124" i="5" s="1"/>
  <c r="M125" i="5"/>
  <c r="N125" i="5" a="1"/>
  <c r="N125" i="5" s="1"/>
  <c r="M126" i="5"/>
  <c r="N126" i="5" a="1"/>
  <c r="N126" i="5" s="1"/>
  <c r="M127" i="5"/>
  <c r="N127" i="5" a="1"/>
  <c r="N127" i="5" s="1"/>
  <c r="M128" i="5"/>
  <c r="N128" i="5" a="1"/>
  <c r="N128" i="5" s="1"/>
  <c r="M129" i="5"/>
  <c r="N129" i="5" a="1"/>
  <c r="N129" i="5" s="1"/>
  <c r="M130" i="5"/>
  <c r="N130" i="5" a="1"/>
  <c r="N130" i="5" s="1"/>
  <c r="M131" i="5"/>
  <c r="N131" i="5" a="1"/>
  <c r="N131" i="5" s="1"/>
  <c r="M132" i="5"/>
  <c r="N132" i="5" a="1"/>
  <c r="N132" i="5" s="1"/>
  <c r="M133" i="5"/>
  <c r="N133" i="5" a="1"/>
  <c r="N133" i="5" s="1"/>
  <c r="M134" i="5"/>
  <c r="N134" i="5" a="1"/>
  <c r="N134" i="5" s="1"/>
  <c r="M135" i="5"/>
  <c r="N135" i="5" a="1"/>
  <c r="N135" i="5" s="1"/>
  <c r="M136" i="5"/>
  <c r="N136" i="5" a="1"/>
  <c r="N136" i="5" s="1"/>
  <c r="M137" i="5"/>
  <c r="N137" i="5" a="1"/>
  <c r="N137" i="5" s="1"/>
  <c r="M138" i="5"/>
  <c r="N138" i="5" a="1"/>
  <c r="N138" i="5" s="1"/>
  <c r="M139" i="5"/>
  <c r="N139" i="5" a="1"/>
  <c r="N139" i="5" s="1"/>
  <c r="M140" i="5"/>
  <c r="N140" i="5" a="1"/>
  <c r="N140" i="5" s="1"/>
  <c r="M141" i="5"/>
  <c r="N141" i="5" a="1"/>
  <c r="N141" i="5" s="1"/>
  <c r="M142" i="5"/>
  <c r="N142" i="5" a="1"/>
  <c r="N142" i="5" s="1"/>
  <c r="M143" i="5"/>
  <c r="N143" i="5" a="1"/>
  <c r="N143" i="5" s="1"/>
  <c r="M144" i="5"/>
  <c r="N144" i="5" a="1"/>
  <c r="N144" i="5" s="1"/>
  <c r="M145" i="5"/>
  <c r="N145" i="5" a="1"/>
  <c r="N145" i="5" s="1"/>
  <c r="M146" i="5"/>
  <c r="N146" i="5" a="1"/>
  <c r="N146" i="5" s="1"/>
  <c r="M147" i="5"/>
  <c r="N147" i="5" a="1"/>
  <c r="N147" i="5" s="1"/>
  <c r="M148" i="5"/>
  <c r="N148" i="5" a="1"/>
  <c r="N148" i="5" s="1"/>
  <c r="M149" i="5"/>
  <c r="N149" i="5" a="1"/>
  <c r="N149" i="5" s="1"/>
  <c r="M150" i="5"/>
  <c r="N150" i="5" a="1"/>
  <c r="N150" i="5" s="1"/>
  <c r="M151" i="5"/>
  <c r="N151" i="5" a="1"/>
  <c r="N151" i="5" s="1"/>
  <c r="M152" i="5"/>
  <c r="N152" i="5" a="1"/>
  <c r="N152" i="5" s="1"/>
  <c r="M153" i="5"/>
  <c r="N153" i="5" a="1"/>
  <c r="N153" i="5" s="1"/>
  <c r="M154" i="5"/>
  <c r="N154" i="5" a="1"/>
  <c r="N154" i="5" s="1"/>
  <c r="M155" i="5"/>
  <c r="N155" i="5" a="1"/>
  <c r="N155" i="5" s="1"/>
  <c r="M156" i="5"/>
  <c r="N156" i="5" a="1"/>
  <c r="N156" i="5" s="1"/>
  <c r="M157" i="5"/>
  <c r="N157" i="5" a="1"/>
  <c r="N157" i="5" s="1"/>
  <c r="M158" i="5"/>
  <c r="N158" i="5" a="1"/>
  <c r="N158" i="5" s="1"/>
  <c r="M159" i="5"/>
  <c r="N159" i="5" a="1"/>
  <c r="N159" i="5" s="1"/>
  <c r="M160" i="5"/>
  <c r="N160" i="5" a="1"/>
  <c r="N160" i="5" s="1"/>
  <c r="M161" i="5"/>
  <c r="N161" i="5" a="1"/>
  <c r="N161" i="5" s="1"/>
  <c r="M162" i="5"/>
  <c r="N162" i="5" a="1"/>
  <c r="N162" i="5" s="1"/>
  <c r="M163" i="5"/>
  <c r="N163" i="5" a="1"/>
  <c r="N163" i="5" s="1"/>
  <c r="M164" i="5"/>
  <c r="N164" i="5" a="1"/>
  <c r="N164" i="5" s="1"/>
  <c r="M165" i="5"/>
  <c r="N165" i="5" a="1"/>
  <c r="N165" i="5" s="1"/>
  <c r="M166" i="5"/>
  <c r="N166" i="5" a="1"/>
  <c r="N166" i="5" s="1"/>
  <c r="M167" i="5"/>
  <c r="N167" i="5" a="1"/>
  <c r="N167" i="5" s="1"/>
  <c r="M168" i="5"/>
  <c r="N168" i="5" a="1"/>
  <c r="N168" i="5" s="1"/>
  <c r="M169" i="5"/>
  <c r="N169" i="5" a="1"/>
  <c r="N169" i="5" s="1"/>
  <c r="M170" i="5"/>
  <c r="N170" i="5" a="1"/>
  <c r="N170" i="5" s="1"/>
  <c r="M171" i="5"/>
  <c r="N171" i="5" a="1"/>
  <c r="N171" i="5" s="1"/>
  <c r="M172" i="5"/>
  <c r="N172" i="5" a="1"/>
  <c r="N172" i="5" s="1"/>
  <c r="M173" i="5"/>
  <c r="N173" i="5" a="1"/>
  <c r="N173" i="5" s="1"/>
  <c r="M174" i="5"/>
  <c r="N174" i="5" a="1"/>
  <c r="N174" i="5" s="1"/>
  <c r="M175" i="5"/>
  <c r="N175" i="5" a="1"/>
  <c r="N175" i="5" s="1"/>
  <c r="M176" i="5"/>
  <c r="N176" i="5" a="1"/>
  <c r="N176" i="5" s="1"/>
  <c r="M177" i="5"/>
  <c r="N177" i="5" a="1"/>
  <c r="N177" i="5" s="1"/>
  <c r="M178" i="5"/>
  <c r="N178" i="5" a="1"/>
  <c r="N178" i="5" s="1"/>
  <c r="M179" i="5"/>
  <c r="N179" i="5" a="1"/>
  <c r="N179" i="5" s="1"/>
  <c r="M180" i="5"/>
  <c r="N180" i="5" a="1"/>
  <c r="N180" i="5" s="1"/>
  <c r="M181" i="5"/>
  <c r="N181" i="5" a="1"/>
  <c r="N181" i="5" s="1"/>
  <c r="M182" i="5"/>
  <c r="N182" i="5" a="1"/>
  <c r="N182" i="5" s="1"/>
  <c r="M183" i="5"/>
  <c r="N183" i="5" a="1"/>
  <c r="N183" i="5" s="1"/>
  <c r="M184" i="5"/>
  <c r="N184" i="5" a="1"/>
  <c r="N184" i="5" s="1"/>
  <c r="M185" i="5"/>
  <c r="N185" i="5" a="1"/>
  <c r="N185" i="5" s="1"/>
  <c r="M186" i="5"/>
  <c r="N186" i="5" a="1"/>
  <c r="N186" i="5" s="1"/>
  <c r="M187" i="5"/>
  <c r="N187" i="5" a="1"/>
  <c r="N187" i="5" s="1"/>
  <c r="M188" i="5"/>
  <c r="N188" i="5" a="1"/>
  <c r="N188" i="5" s="1"/>
  <c r="M189" i="5"/>
  <c r="N189" i="5" a="1"/>
  <c r="N189" i="5" s="1"/>
  <c r="M190" i="5"/>
  <c r="N190" i="5" a="1"/>
  <c r="N190" i="5" s="1"/>
  <c r="M191" i="5"/>
  <c r="N191" i="5" a="1"/>
  <c r="N191" i="5" s="1"/>
  <c r="M192" i="5"/>
  <c r="N192" i="5" a="1"/>
  <c r="N192" i="5" s="1"/>
  <c r="M193" i="5"/>
  <c r="N193" i="5" a="1"/>
  <c r="N193" i="5" s="1"/>
  <c r="M194" i="5"/>
  <c r="N194" i="5" a="1"/>
  <c r="N194" i="5" s="1"/>
  <c r="M195" i="5"/>
  <c r="N195" i="5" a="1"/>
  <c r="N195" i="5" s="1"/>
  <c r="M196" i="5"/>
  <c r="N196" i="5" a="1"/>
  <c r="N196" i="5" s="1"/>
  <c r="M197" i="5"/>
  <c r="N197" i="5" a="1"/>
  <c r="N197" i="5" s="1"/>
  <c r="M198" i="5"/>
  <c r="N198" i="5" a="1"/>
  <c r="N198" i="5" s="1"/>
  <c r="M199" i="5"/>
  <c r="N199" i="5" a="1"/>
  <c r="N199" i="5" s="1"/>
  <c r="M200" i="5"/>
  <c r="N200" i="5" a="1"/>
  <c r="N200" i="5" s="1"/>
  <c r="M201" i="5"/>
  <c r="N201" i="5" a="1"/>
  <c r="N201" i="5" s="1"/>
  <c r="M202" i="5"/>
  <c r="N202" i="5" a="1"/>
  <c r="N202" i="5" s="1"/>
  <c r="M203" i="5"/>
  <c r="N203" i="5" a="1"/>
  <c r="N203" i="5" s="1"/>
  <c r="M204" i="5"/>
  <c r="N204" i="5" a="1"/>
  <c r="N204" i="5" s="1"/>
  <c r="M205" i="5"/>
  <c r="N205" i="5" a="1"/>
  <c r="N205" i="5" s="1"/>
  <c r="M206" i="5"/>
  <c r="N206" i="5" a="1"/>
  <c r="N206" i="5" s="1"/>
  <c r="M207" i="5"/>
  <c r="N207" i="5" a="1"/>
  <c r="N207" i="5" s="1"/>
  <c r="M208" i="5"/>
  <c r="N208" i="5" a="1"/>
  <c r="N208" i="5" s="1"/>
  <c r="M209" i="5"/>
  <c r="N209" i="5" a="1"/>
  <c r="N209" i="5" s="1"/>
  <c r="M210" i="5"/>
  <c r="N210" i="5" a="1"/>
  <c r="N210" i="5" s="1"/>
  <c r="M211" i="5"/>
  <c r="N211" i="5" a="1"/>
  <c r="N211" i="5" s="1"/>
  <c r="M212" i="5"/>
  <c r="N212" i="5" a="1"/>
  <c r="N212" i="5" s="1"/>
  <c r="M213" i="5"/>
  <c r="N213" i="5" a="1"/>
  <c r="N213" i="5" s="1"/>
  <c r="M214" i="5"/>
  <c r="N214" i="5" a="1"/>
  <c r="N214" i="5" s="1"/>
  <c r="M215" i="5"/>
  <c r="N215" i="5" a="1"/>
  <c r="N215" i="5" s="1"/>
  <c r="M216" i="5"/>
  <c r="N216" i="5" a="1"/>
  <c r="N216" i="5" s="1"/>
  <c r="M217" i="5"/>
  <c r="N217" i="5" a="1"/>
  <c r="N217" i="5" s="1"/>
  <c r="M218" i="5"/>
  <c r="N218" i="5" a="1"/>
  <c r="N218" i="5" s="1"/>
  <c r="M219" i="5"/>
  <c r="N219" i="5" a="1"/>
  <c r="N219" i="5" s="1"/>
  <c r="M220" i="5"/>
  <c r="N220" i="5" a="1"/>
  <c r="N220" i="5" s="1"/>
  <c r="M221" i="5"/>
  <c r="N221" i="5" a="1"/>
  <c r="N221" i="5" s="1"/>
  <c r="M222" i="5"/>
  <c r="N222" i="5" a="1"/>
  <c r="N222" i="5" s="1"/>
  <c r="M223" i="5"/>
  <c r="N223" i="5" a="1"/>
  <c r="N223" i="5" s="1"/>
  <c r="M224" i="5"/>
  <c r="N224" i="5" a="1"/>
  <c r="N224" i="5" s="1"/>
  <c r="M225" i="5"/>
  <c r="N225" i="5" a="1"/>
  <c r="N225" i="5" s="1"/>
  <c r="M226" i="5"/>
  <c r="N226" i="5" a="1"/>
  <c r="N226" i="5" s="1"/>
  <c r="M227" i="5"/>
  <c r="N227" i="5" a="1"/>
  <c r="N227" i="5" s="1"/>
  <c r="M228" i="5"/>
  <c r="N228" i="5" a="1"/>
  <c r="N228" i="5" s="1"/>
  <c r="M229" i="5"/>
  <c r="N229" i="5" a="1"/>
  <c r="N229" i="5" s="1"/>
  <c r="M230" i="5"/>
  <c r="N230" i="5" a="1"/>
  <c r="N230" i="5" s="1"/>
  <c r="M231" i="5"/>
  <c r="N231" i="5" a="1"/>
  <c r="N231" i="5" s="1"/>
  <c r="M232" i="5"/>
  <c r="N232" i="5" a="1"/>
  <c r="N232" i="5" s="1"/>
  <c r="M233" i="5"/>
  <c r="N233" i="5" a="1"/>
  <c r="N233" i="5" s="1"/>
  <c r="M234" i="5"/>
  <c r="N234" i="5" a="1"/>
  <c r="N234" i="5" s="1"/>
  <c r="M235" i="5"/>
  <c r="N235" i="5" a="1"/>
  <c r="N235" i="5" s="1"/>
  <c r="M236" i="5"/>
  <c r="N236" i="5" a="1"/>
  <c r="N236" i="5" s="1"/>
  <c r="M237" i="5"/>
  <c r="N237" i="5" a="1"/>
  <c r="N237" i="5" s="1"/>
  <c r="M238" i="5"/>
  <c r="N238" i="5" a="1"/>
  <c r="N238" i="5" s="1"/>
  <c r="M239" i="5"/>
  <c r="N239" i="5" a="1"/>
  <c r="N239" i="5" s="1"/>
  <c r="M240" i="5"/>
  <c r="N240" i="5" a="1"/>
  <c r="N240" i="5" s="1"/>
  <c r="M241" i="5"/>
  <c r="N241" i="5" a="1"/>
  <c r="N241" i="5" s="1"/>
  <c r="M242" i="5"/>
  <c r="N242" i="5" a="1"/>
  <c r="N242" i="5" s="1"/>
  <c r="M243" i="5"/>
  <c r="N243" i="5" a="1"/>
  <c r="N243" i="5" s="1"/>
  <c r="M244" i="5"/>
  <c r="N244" i="5" a="1"/>
  <c r="N244" i="5" s="1"/>
  <c r="M245" i="5"/>
  <c r="N245" i="5" a="1"/>
  <c r="N245" i="5" s="1"/>
  <c r="M246" i="5"/>
  <c r="N246" i="5" a="1"/>
  <c r="N246" i="5" s="1"/>
  <c r="M247" i="5"/>
  <c r="N247" i="5" a="1"/>
  <c r="N247" i="5" s="1"/>
  <c r="M248" i="5"/>
  <c r="N248" i="5" a="1"/>
  <c r="N248" i="5" s="1"/>
  <c r="M249" i="5"/>
  <c r="N249" i="5" a="1"/>
  <c r="N249" i="5" s="1"/>
  <c r="M250" i="5"/>
  <c r="N250" i="5" a="1"/>
  <c r="N250" i="5" s="1"/>
  <c r="M251" i="5"/>
  <c r="N251" i="5" a="1"/>
  <c r="N251" i="5" s="1"/>
  <c r="M2" i="5"/>
  <c r="N2" i="5" s="1" a="1"/>
  <c r="N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<sst xmlns="http://schemas.openxmlformats.org/spreadsheetml/2006/main" count="2514" uniqueCount="784">
  <si>
    <t>Question</t>
  </si>
  <si>
    <t>Weight</t>
  </si>
  <si>
    <t>Why</t>
  </si>
  <si>
    <t>BIZ01</t>
  </si>
  <si>
    <t>BIZ02</t>
  </si>
  <si>
    <t>BIZ03</t>
  </si>
  <si>
    <t>BIZ04</t>
  </si>
  <si>
    <t>BIZ05</t>
  </si>
  <si>
    <t>Score</t>
  </si>
  <si>
    <t>Risk Score</t>
  </si>
  <si>
    <t>Priority</t>
  </si>
  <si>
    <t>VerbalScore</t>
  </si>
  <si>
    <t>Power BI objectives clearly defined</t>
  </si>
  <si>
    <t>Without objectives, reporting becomes reactive and misaligned</t>
  </si>
  <si>
    <t>We don’t really have objectives, we just build what’s requested</t>
  </si>
  <si>
    <t>We have a general idea, but nothing written down</t>
  </si>
  <si>
    <t>Some teams have objectives, others don’t</t>
  </si>
  <si>
    <t>We have documented objectives and usually follow them</t>
  </si>
  <si>
    <t>Objectives are documented, reviewed, and aligned with strategy</t>
  </si>
  <si>
    <t>Target audiences clearly defined</t>
  </si>
  <si>
    <t>Undefined audiences reduce adoption and clarity</t>
  </si>
  <si>
    <t>Reports are built for whoever needs them</t>
  </si>
  <si>
    <t>We have an idea of users, but it’s informal</t>
  </si>
  <si>
    <t>Main audiences are defined for key reports</t>
  </si>
  <si>
    <t>Each report has a clearly defined audience</t>
  </si>
  <si>
    <t>Audiences are defined, validated, and reviewed regularly</t>
  </si>
  <si>
    <t>KPIs consistently defined</t>
  </si>
  <si>
    <t>Inconsistent KPIs create trust and decision risk</t>
  </si>
  <si>
    <t>Different teams use different numbers</t>
  </si>
  <si>
    <t>We try to align, but definitions still vary</t>
  </si>
  <si>
    <t>Most KPIs are consistent, some aren’t</t>
  </si>
  <si>
    <t>KPIs are clearly defined and consistently used</t>
  </si>
  <si>
    <t>KPIs are governed and centrally approved</t>
  </si>
  <si>
    <t>Business vs IT responsibilities clear</t>
  </si>
  <si>
    <t>Unclear ownership slows delivery and accountability</t>
  </si>
  <si>
    <t>It’s not really clear who owns what</t>
  </si>
  <si>
    <t>We kind of know, but it depends</t>
  </si>
  <si>
    <t>Responsibilities are clear for most cases</t>
  </si>
  <si>
    <t>Roles and responsibilities are well defined</t>
  </si>
  <si>
    <t>Roles are documented and understood by everyone</t>
  </si>
  <si>
    <t>Reporting demand prioritized</t>
  </si>
  <si>
    <t>Lack of prioritization causes overload and frustration</t>
  </si>
  <si>
    <t>We handle requests as they come</t>
  </si>
  <si>
    <t>We try to prioritize, but it’s ad hoc</t>
  </si>
  <si>
    <t>Some prioritization exists for major requests</t>
  </si>
  <si>
    <t>Requests are prioritized using clear criteria</t>
  </si>
  <si>
    <t>Formal intake and prioritization process exists</t>
  </si>
  <si>
    <t>ENV01</t>
  </si>
  <si>
    <t>Workspace naming convention</t>
  </si>
  <si>
    <t>Naming consistency supports scale and clarity</t>
  </si>
  <si>
    <t>Everyone names workspaces their own way</t>
  </si>
  <si>
    <t>Some naming rules exist but aren’t enforced</t>
  </si>
  <si>
    <t>Most workspaces follow a convention</t>
  </si>
  <si>
    <t>Naming conventions are consistently applied</t>
  </si>
  <si>
    <t>Naming is standardized and enforced automatically</t>
  </si>
  <si>
    <t>ENV02</t>
  </si>
  <si>
    <t>Dev/Test/Prod separation</t>
  </si>
  <si>
    <t>No separation risks breaking production</t>
  </si>
  <si>
    <t>Everything is built directly in production</t>
  </si>
  <si>
    <t>We sometimes copy things to test</t>
  </si>
  <si>
    <t>Some projects have separation</t>
  </si>
  <si>
    <t>All projects have Dev and Prod</t>
  </si>
  <si>
    <t>Dev/Test/Prod with controlled deployments</t>
  </si>
  <si>
    <t>ENV03</t>
  </si>
  <si>
    <t>Workspace ownership defined</t>
  </si>
  <si>
    <t>Ownership prevents orphaned assets</t>
  </si>
  <si>
    <t>No one really owns the workspace</t>
  </si>
  <si>
    <t>Ownership exists but isn’t formal</t>
  </si>
  <si>
    <t>Most workspaces have an owner</t>
  </si>
  <si>
    <t>Each workspace has a clear owner</t>
  </si>
  <si>
    <t>Ownership is documented and reviewed</t>
  </si>
  <si>
    <t>ENV04</t>
  </si>
  <si>
    <t>Workspace creation controlled</t>
  </si>
  <si>
    <t>Uncontrolled creation leads to sprawl</t>
  </si>
  <si>
    <t>Anyone can create workspaces</t>
  </si>
  <si>
    <t>Creation is mostly open</t>
  </si>
  <si>
    <t>Some restrictions exist</t>
  </si>
  <si>
    <t>Workspace creation is controlled</t>
  </si>
  <si>
    <t>Creation follows a governed approval process</t>
  </si>
  <si>
    <t>ENV05</t>
  </si>
  <si>
    <t>No production in My Workspace</t>
  </si>
  <si>
    <t>My Workspace use is a major operational risk</t>
  </si>
  <si>
    <t>Critical reports live in My Workspace</t>
  </si>
  <si>
    <t>Some important reports are still there</t>
  </si>
  <si>
    <t>Most production reports are properly located</t>
  </si>
  <si>
    <t>Production reports are never in My Workspace</t>
  </si>
  <si>
    <t>This is enforced and audited</t>
  </si>
  <si>
    <t>CategoryID</t>
  </si>
  <si>
    <t>Category</t>
  </si>
  <si>
    <t>SubcategoryID</t>
  </si>
  <si>
    <t>Subcategory</t>
  </si>
  <si>
    <t>Pillar</t>
  </si>
  <si>
    <t>QuestionID</t>
  </si>
  <si>
    <t>VerbalScoreID</t>
  </si>
  <si>
    <t>CAT01</t>
  </si>
  <si>
    <t>Business Alignment</t>
  </si>
  <si>
    <t>SUB01</t>
  </si>
  <si>
    <t>Objectives</t>
  </si>
  <si>
    <t>CoE</t>
  </si>
  <si>
    <t>BIZ01_S1</t>
  </si>
  <si>
    <t>BIZ01_S2</t>
  </si>
  <si>
    <t>BIZ01_S3</t>
  </si>
  <si>
    <t>BIZ01_S4</t>
  </si>
  <si>
    <t>BIZ01_S5</t>
  </si>
  <si>
    <t>SUB02</t>
  </si>
  <si>
    <t>Audiences</t>
  </si>
  <si>
    <t>BIZ02_S1</t>
  </si>
  <si>
    <t>BIZ02_S2</t>
  </si>
  <si>
    <t>BIZ02_S3</t>
  </si>
  <si>
    <t>BIZ02_S4</t>
  </si>
  <si>
    <t>BIZ02_S5</t>
  </si>
  <si>
    <t>SUB03</t>
  </si>
  <si>
    <t>KPIs</t>
  </si>
  <si>
    <t>BIZ03_S1</t>
  </si>
  <si>
    <t>BIZ03_S2</t>
  </si>
  <si>
    <t>BIZ03_S3</t>
  </si>
  <si>
    <t>BIZ03_S4</t>
  </si>
  <si>
    <t>BIZ03_S5</t>
  </si>
  <si>
    <t>SUB04</t>
  </si>
  <si>
    <t>Ownership</t>
  </si>
  <si>
    <t>BIZ04_S1</t>
  </si>
  <si>
    <t>BIZ04_S2</t>
  </si>
  <si>
    <t>BIZ04_S3</t>
  </si>
  <si>
    <t>BIZ04_S4</t>
  </si>
  <si>
    <t>BIZ04_S5</t>
  </si>
  <si>
    <t>SUB05</t>
  </si>
  <si>
    <t>Demand</t>
  </si>
  <si>
    <t>BIZ05_S1</t>
  </si>
  <si>
    <t>BIZ05_S2</t>
  </si>
  <si>
    <t>BIZ05_S3</t>
  </si>
  <si>
    <t>BIZ05_S4</t>
  </si>
  <si>
    <t>BIZ05_S5</t>
  </si>
  <si>
    <t>CAT02</t>
  </si>
  <si>
    <t>Workspace &amp; Environment</t>
  </si>
  <si>
    <t>SUB06</t>
  </si>
  <si>
    <t>Naming</t>
  </si>
  <si>
    <t>BI Ops</t>
  </si>
  <si>
    <t>ENV01_S1</t>
  </si>
  <si>
    <t>ENV01_S2</t>
  </si>
  <si>
    <t>ENV01_S3</t>
  </si>
  <si>
    <t>ENV01_S4</t>
  </si>
  <si>
    <t>ENV01_S5</t>
  </si>
  <si>
    <t>SUB07</t>
  </si>
  <si>
    <t>Environments</t>
  </si>
  <si>
    <t>ENV02_S1</t>
  </si>
  <si>
    <t>ENV02_S2</t>
  </si>
  <si>
    <t>ENV02_S3</t>
  </si>
  <si>
    <t>ENV02_S4</t>
  </si>
  <si>
    <t>ENV02_S5</t>
  </si>
  <si>
    <t>SUB08</t>
  </si>
  <si>
    <t>ENV03_S1</t>
  </si>
  <si>
    <t>ENV03_S2</t>
  </si>
  <si>
    <t>ENV03_S3</t>
  </si>
  <si>
    <t>ENV03_S4</t>
  </si>
  <si>
    <t>ENV03_S5</t>
  </si>
  <si>
    <t>SUB09</t>
  </si>
  <si>
    <t>Governance</t>
  </si>
  <si>
    <t>ENV04_S1</t>
  </si>
  <si>
    <t>ENV04_S2</t>
  </si>
  <si>
    <t>ENV04_S3</t>
  </si>
  <si>
    <t>ENV04_S4</t>
  </si>
  <si>
    <t>ENV04_S5</t>
  </si>
  <si>
    <t>SUB10</t>
  </si>
  <si>
    <t>Production Usage</t>
  </si>
  <si>
    <t>ENV05_S1</t>
  </si>
  <si>
    <t>ENV05_S2</t>
  </si>
  <si>
    <t>ENV05_S3</t>
  </si>
  <si>
    <t>ENV05_S4</t>
  </si>
  <si>
    <t>ENV05_S5</t>
  </si>
  <si>
    <t>CAT03</t>
  </si>
  <si>
    <t>Data Modeling</t>
  </si>
  <si>
    <t>SUB11</t>
  </si>
  <si>
    <t>Schema Design</t>
  </si>
  <si>
    <t>Reporting</t>
  </si>
  <si>
    <t>MOD01</t>
  </si>
  <si>
    <t>Star schema usage</t>
  </si>
  <si>
    <t>Star schemas are foundational for performance and scalability</t>
  </si>
  <si>
    <t>MOD01_S1</t>
  </si>
  <si>
    <t>Models are built however works at the time</t>
  </si>
  <si>
    <t>MOD01_S2</t>
  </si>
  <si>
    <t>We sometimes use star schemas</t>
  </si>
  <si>
    <t>MOD01_S3</t>
  </si>
  <si>
    <t>Most models follow a star schema</t>
  </si>
  <si>
    <t>MOD01_S4</t>
  </si>
  <si>
    <t>Star schema is our standard</t>
  </si>
  <si>
    <t>MOD01_S5</t>
  </si>
  <si>
    <t>Models are reviewed for schema quality</t>
  </si>
  <si>
    <t>SUB12</t>
  </si>
  <si>
    <t>Reuse</t>
  </si>
  <si>
    <t>MOD02</t>
  </si>
  <si>
    <t>Shared datasets used</t>
  </si>
  <si>
    <t>Lack of reuse causes duplication and inconsistency</t>
  </si>
  <si>
    <t>MOD02_S1</t>
  </si>
  <si>
    <t>Each report has its own dataset</t>
  </si>
  <si>
    <t>MOD02_S2</t>
  </si>
  <si>
    <t>Some datasets are reused accidentally</t>
  </si>
  <si>
    <t>MOD02_S3</t>
  </si>
  <si>
    <t>Core reports share datasets</t>
  </si>
  <si>
    <t>MOD02_S4</t>
  </si>
  <si>
    <t>Shared datasets are the default</t>
  </si>
  <si>
    <t>MOD02_S5</t>
  </si>
  <si>
    <t>Governed semantic layer strategy exists</t>
  </si>
  <si>
    <t>SUB13</t>
  </si>
  <si>
    <t>Measures</t>
  </si>
  <si>
    <t>MOD03</t>
  </si>
  <si>
    <t>Measures centralized and documented</t>
  </si>
  <si>
    <t>Central measures improve trust and reuse</t>
  </si>
  <si>
    <t>MOD03_S1</t>
  </si>
  <si>
    <t>Measures are created inside reports</t>
  </si>
  <si>
    <t>MOD03_S2</t>
  </si>
  <si>
    <t>Some shared measures exist</t>
  </si>
  <si>
    <t>MOD03_S3</t>
  </si>
  <si>
    <t>Important measures are centralized</t>
  </si>
  <si>
    <t>MOD03_S4</t>
  </si>
  <si>
    <t>Measures are centralized and documented</t>
  </si>
  <si>
    <t>MOD03_S5</t>
  </si>
  <si>
    <t>Measures follow a formal lifecycle</t>
  </si>
  <si>
    <t>SUB14</t>
  </si>
  <si>
    <t>Optimization</t>
  </si>
  <si>
    <t>MOD04</t>
  </si>
  <si>
    <t>Model size optimized</t>
  </si>
  <si>
    <t>Large models impact refresh and performance</t>
  </si>
  <si>
    <t>MOD04_S1</t>
  </si>
  <si>
    <t>We import everything</t>
  </si>
  <si>
    <t>MOD04_S2</t>
  </si>
  <si>
    <t>Some columns are removed</t>
  </si>
  <si>
    <t>MOD04_S3</t>
  </si>
  <si>
    <t>Most models are reasonably optimized</t>
  </si>
  <si>
    <t>MOD04_S4</t>
  </si>
  <si>
    <t>Models are actively optimized</t>
  </si>
  <si>
    <t>MOD04_S5</t>
  </si>
  <si>
    <t>Optimization is reviewed regularly</t>
  </si>
  <si>
    <t>SUB15</t>
  </si>
  <si>
    <t>Relationships</t>
  </si>
  <si>
    <t>MOD05</t>
  </si>
  <si>
    <t>Relationships correctly defined</t>
  </si>
  <si>
    <t>Incorrect relationships produce wrong results</t>
  </si>
  <si>
    <t>MOD05_S1</t>
  </si>
  <si>
    <t>Relationships are trial and error</t>
  </si>
  <si>
    <t>MOD05_S2</t>
  </si>
  <si>
    <t>Some relationships are unclear</t>
  </si>
  <si>
    <t>MOD05_S3</t>
  </si>
  <si>
    <t>Most relationships are correct</t>
  </si>
  <si>
    <t>MOD05_S4</t>
  </si>
  <si>
    <t>Relationships are clearly defined</t>
  </si>
  <si>
    <t>MOD05_S5</t>
  </si>
  <si>
    <t>Relationships are validated and documented</t>
  </si>
  <si>
    <t>CAT04</t>
  </si>
  <si>
    <t>Data Sources &amp; Refresh</t>
  </si>
  <si>
    <t>SUB16</t>
  </si>
  <si>
    <t>Data Inventory</t>
  </si>
  <si>
    <t>REF01</t>
  </si>
  <si>
    <t>Data sources documented</t>
  </si>
  <si>
    <t>Documentation enables support, ownership, and continuity</t>
  </si>
  <si>
    <t>REF01_S1</t>
  </si>
  <si>
    <t>We don’t have a list of data sources</t>
  </si>
  <si>
    <t>REF01_S2</t>
  </si>
  <si>
    <t>Some documentation exists</t>
  </si>
  <si>
    <t>REF01_S3</t>
  </si>
  <si>
    <t>Key data sources are documented</t>
  </si>
  <si>
    <t>REF01_S4</t>
  </si>
  <si>
    <t>All data sources are documented</t>
  </si>
  <si>
    <t>REF01_S5</t>
  </si>
  <si>
    <t>Documentation is maintained and reviewed</t>
  </si>
  <si>
    <t>SUB17</t>
  </si>
  <si>
    <t>Gateway</t>
  </si>
  <si>
    <t>REF02</t>
  </si>
  <si>
    <t>Gateway configured and monitored</t>
  </si>
  <si>
    <t>Gateway failures stop reporting entirely</t>
  </si>
  <si>
    <t>REF02_S1</t>
  </si>
  <si>
    <t>We only notice issues when refresh fails</t>
  </si>
  <si>
    <t>REF02_S2</t>
  </si>
  <si>
    <t>Gateway exists but isn’t monitored</t>
  </si>
  <si>
    <t>REF02_S3</t>
  </si>
  <si>
    <t>Basic monitoring is in place</t>
  </si>
  <si>
    <t>REF02_S4</t>
  </si>
  <si>
    <t>Gateway is actively monitored</t>
  </si>
  <si>
    <t>REF02_S5</t>
  </si>
  <si>
    <t>Gateway health is proactively managed</t>
  </si>
  <si>
    <t>SUB18</t>
  </si>
  <si>
    <t>Refresh Strategy</t>
  </si>
  <si>
    <t>REF03</t>
  </si>
  <si>
    <t>Refresh schedules meet business needs</t>
  </si>
  <si>
    <t>Late or infrequent refresh impacts decision-making</t>
  </si>
  <si>
    <t>REF03_S1</t>
  </si>
  <si>
    <t>Refresh timing is random</t>
  </si>
  <si>
    <t>REF03_S2</t>
  </si>
  <si>
    <t>Some reports refresh too late</t>
  </si>
  <si>
    <t>REF03_S3</t>
  </si>
  <si>
    <t>Most refreshes meet business needs</t>
  </si>
  <si>
    <t>REF03_S4</t>
  </si>
  <si>
    <t>Refresh aligns with business needs</t>
  </si>
  <si>
    <t>REF03_S5</t>
  </si>
  <si>
    <t>Refresh is optimized and reviewed regularly</t>
  </si>
  <si>
    <t>SUB19</t>
  </si>
  <si>
    <t>Scalability</t>
  </si>
  <si>
    <t>REF04</t>
  </si>
  <si>
    <t>Incremental refresh used where applicable</t>
  </si>
  <si>
    <t>Incremental refresh is critical for scalability</t>
  </si>
  <si>
    <t>REF04_S1</t>
  </si>
  <si>
    <t>We don’t use incremental refresh</t>
  </si>
  <si>
    <t>REF04_S2</t>
  </si>
  <si>
    <t>We tried it once</t>
  </si>
  <si>
    <t>REF04_S3</t>
  </si>
  <si>
    <t>Some large datasets use it</t>
  </si>
  <si>
    <t>REF04_S4</t>
  </si>
  <si>
    <t>Incremental refresh is standard</t>
  </si>
  <si>
    <t>REF04_S5</t>
  </si>
  <si>
    <t>Incremental refresh is optimized and monitored</t>
  </si>
  <si>
    <t>SUB20</t>
  </si>
  <si>
    <t>Credentials</t>
  </si>
  <si>
    <t>REF05</t>
  </si>
  <si>
    <t>Credentials not tied to individuals</t>
  </si>
  <si>
    <t>Personal credentials are a security and operational risk</t>
  </si>
  <si>
    <t>REF05_S1</t>
  </si>
  <si>
    <t>Refresh uses personal accounts</t>
  </si>
  <si>
    <t>REF05_S2</t>
  </si>
  <si>
    <t>Some shared accounts exist</t>
  </si>
  <si>
    <t>REF05_S3</t>
  </si>
  <si>
    <t>Most credentials are service-based</t>
  </si>
  <si>
    <t>REF05_S4</t>
  </si>
  <si>
    <t>All credentials are service-based</t>
  </si>
  <si>
    <t>REF05_S5</t>
  </si>
  <si>
    <t>Credential management is governed</t>
  </si>
  <si>
    <t>CAT05</t>
  </si>
  <si>
    <t>Performance &amp; Optimization</t>
  </si>
  <si>
    <t>SUB21</t>
  </si>
  <si>
    <t>Performance</t>
  </si>
  <si>
    <t>PERF01</t>
  </si>
  <si>
    <t>Report performance acceptable</t>
  </si>
  <si>
    <t>Slow reports reduce adoption and trust</t>
  </si>
  <si>
    <t>PERF01_S1</t>
  </si>
  <si>
    <t>Reports are often slow</t>
  </si>
  <si>
    <t>PERF01_S2</t>
  </si>
  <si>
    <t>Some reports are slow</t>
  </si>
  <si>
    <t>PERF01_S3</t>
  </si>
  <si>
    <t>Performance is acceptable most of the time</t>
  </si>
  <si>
    <t>PERF01_S4</t>
  </si>
  <si>
    <t>Reports load quickly</t>
  </si>
  <si>
    <t>PERF01_S5</t>
  </si>
  <si>
    <t>Performance is actively monitored</t>
  </si>
  <si>
    <t>SUB22</t>
  </si>
  <si>
    <t>DAX Quality</t>
  </si>
  <si>
    <t>PERF02</t>
  </si>
  <si>
    <t>DAX best practices followed</t>
  </si>
  <si>
    <t>Poor DAX affects performance and maintainability</t>
  </si>
  <si>
    <t>PERF02_S1</t>
  </si>
  <si>
    <t>DAX is trial and error</t>
  </si>
  <si>
    <t>PERF02_S2</t>
  </si>
  <si>
    <t>Some best practices are used</t>
  </si>
  <si>
    <t>PERF02_S3</t>
  </si>
  <si>
    <t>Most measures follow good practices</t>
  </si>
  <si>
    <t>PERF02_S4</t>
  </si>
  <si>
    <t>DAX follows defined standards</t>
  </si>
  <si>
    <t>PERF02_S5</t>
  </si>
  <si>
    <t>DAX is reviewed and optimized</t>
  </si>
  <si>
    <t>SUB23</t>
  </si>
  <si>
    <t>UX &amp; Visuals</t>
  </si>
  <si>
    <t>PERF03</t>
  </si>
  <si>
    <t>Visuals optimized and purposeful</t>
  </si>
  <si>
    <t>Too many visuals impact UX and performance</t>
  </si>
  <si>
    <t>PERF03_S1</t>
  </si>
  <si>
    <t>We add visuals freely</t>
  </si>
  <si>
    <t>PERF03_S2</t>
  </si>
  <si>
    <t>Some reports are cluttered</t>
  </si>
  <si>
    <t>PERF03_S3</t>
  </si>
  <si>
    <t>Most visuals are purposeful</t>
  </si>
  <si>
    <t>PERF03_S4</t>
  </si>
  <si>
    <t>Visuals follow UX guidelines</t>
  </si>
  <si>
    <t>PERF03_S5</t>
  </si>
  <si>
    <t>UX is reviewed with users</t>
  </si>
  <si>
    <t>SUB24</t>
  </si>
  <si>
    <t>Query Performance</t>
  </si>
  <si>
    <t>PERF04</t>
  </si>
  <si>
    <t>Query folding preserved</t>
  </si>
  <si>
    <t>Broken folding increases refresh time and load</t>
  </si>
  <si>
    <t>PERF04_S1</t>
  </si>
  <si>
    <t>We don’t check query folding</t>
  </si>
  <si>
    <t>PERF04_S2</t>
  </si>
  <si>
    <t>We’re aware of it</t>
  </si>
  <si>
    <t>PERF04_S3</t>
  </si>
  <si>
    <t>We try to preserve it</t>
  </si>
  <si>
    <t>PERF04_S4</t>
  </si>
  <si>
    <t>Query folding is standard</t>
  </si>
  <si>
    <t>PERF04_S5</t>
  </si>
  <si>
    <t>Folding is validated regularly</t>
  </si>
  <si>
    <t>SUB25</t>
  </si>
  <si>
    <t>Storage Mode</t>
  </si>
  <si>
    <t>PERF05</t>
  </si>
  <si>
    <t>Storage mode appropriate</t>
  </si>
  <si>
    <t>Incorrect storage mode causes performance issues</t>
  </si>
  <si>
    <t>PERF05_S1</t>
  </si>
  <si>
    <t>We use DirectQuery by default</t>
  </si>
  <si>
    <t>PERF05_S2</t>
  </si>
  <si>
    <t>Storage mode choices are unclear</t>
  </si>
  <si>
    <t>PERF05_S3</t>
  </si>
  <si>
    <t>Storage mode is usually correct</t>
  </si>
  <si>
    <t>PERF05_S4</t>
  </si>
  <si>
    <t>Storage mode is chosen intentionally</t>
  </si>
  <si>
    <t>PERF05_S5</t>
  </si>
  <si>
    <t>Storage mode is reviewed per use case</t>
  </si>
  <si>
    <t>CAT06</t>
  </si>
  <si>
    <t>Security &amp; Access Control</t>
  </si>
  <si>
    <t>SUB26</t>
  </si>
  <si>
    <t>Access Management</t>
  </si>
  <si>
    <t>SEC01</t>
  </si>
  <si>
    <t>Least privilege access applied</t>
  </si>
  <si>
    <t>Excess access increases data exposure risk</t>
  </si>
  <si>
    <t>SEC01_S1</t>
  </si>
  <si>
    <t>Many people are admins</t>
  </si>
  <si>
    <t>SEC01_S2</t>
  </si>
  <si>
    <t>Access is mostly open</t>
  </si>
  <si>
    <t>SEC01_S3</t>
  </si>
  <si>
    <t>Some restriction exists</t>
  </si>
  <si>
    <t>SEC01_S4</t>
  </si>
  <si>
    <t>Access follows least privilege</t>
  </si>
  <si>
    <t>SEC01_S5</t>
  </si>
  <si>
    <t>Access is reviewed regularly</t>
  </si>
  <si>
    <t>SUB27</t>
  </si>
  <si>
    <t>Row-Level Security</t>
  </si>
  <si>
    <t>SEC02</t>
  </si>
  <si>
    <t>RLS implemented and tested</t>
  </si>
  <si>
    <t>Missing RLS is a regulatory and trust risk</t>
  </si>
  <si>
    <t>SEC02_S1</t>
  </si>
  <si>
    <t>Everyone sees everything</t>
  </si>
  <si>
    <t>SEC02_S2</t>
  </si>
  <si>
    <t>Some reports have RLS</t>
  </si>
  <si>
    <t>SEC02_S3</t>
  </si>
  <si>
    <t>RLS exists but isn’t tested regularly</t>
  </si>
  <si>
    <t>SEC02_S4</t>
  </si>
  <si>
    <t>RLS is applied and tested before release</t>
  </si>
  <si>
    <t>SEC02_S5</t>
  </si>
  <si>
    <t>RLS is audited and governed</t>
  </si>
  <si>
    <t>SUB28</t>
  </si>
  <si>
    <t>Admin Rights</t>
  </si>
  <si>
    <t>SEC03</t>
  </si>
  <si>
    <t>Admin access limited</t>
  </si>
  <si>
    <t>Too many admins reduce control and auditability</t>
  </si>
  <si>
    <t>SEC03_S1</t>
  </si>
  <si>
    <t>Many global admins</t>
  </si>
  <si>
    <t>SEC03_S2</t>
  </si>
  <si>
    <t>Admins are not reviewed</t>
  </si>
  <si>
    <t>SEC03_S3</t>
  </si>
  <si>
    <t>Admin access is mostly controlled</t>
  </si>
  <si>
    <t>SEC03_S4</t>
  </si>
  <si>
    <t>Admin access is restricted</t>
  </si>
  <si>
    <t>SEC03_S5</t>
  </si>
  <si>
    <t>Admin access is audited</t>
  </si>
  <si>
    <t>SUB29</t>
  </si>
  <si>
    <t>External Sharing</t>
  </si>
  <si>
    <t>SEC04</t>
  </si>
  <si>
    <t>External sharing controlled</t>
  </si>
  <si>
    <t>Uncontrolled sharing risks data leakage</t>
  </si>
  <si>
    <t>SEC04_S1</t>
  </si>
  <si>
    <t>Anyone can share externally</t>
  </si>
  <si>
    <t>SEC04_S2</t>
  </si>
  <si>
    <t>Sharing is loosely controlled</t>
  </si>
  <si>
    <t>SEC04_S3</t>
  </si>
  <si>
    <t>Some controls exist</t>
  </si>
  <si>
    <t>SEC04_S4</t>
  </si>
  <si>
    <t>External sharing is restricted</t>
  </si>
  <si>
    <t>SEC04_S5</t>
  </si>
  <si>
    <t>External sharing is governed and logged</t>
  </si>
  <si>
    <t>SUB30</t>
  </si>
  <si>
    <t>Data Classification</t>
  </si>
  <si>
    <t>SEC05</t>
  </si>
  <si>
    <t>Sensitivity labels applied</t>
  </si>
  <si>
    <t>Labels help classify and protect sensitive data</t>
  </si>
  <si>
    <t>SEC05_S1</t>
  </si>
  <si>
    <t>We don’t use labels</t>
  </si>
  <si>
    <t>SEC05_S2</t>
  </si>
  <si>
    <t>Some reports have labels</t>
  </si>
  <si>
    <t>SEC05_S3</t>
  </si>
  <si>
    <t>Important reports are labeled</t>
  </si>
  <si>
    <t>SEC05_S4</t>
  </si>
  <si>
    <t>Labels are applied consistently</t>
  </si>
  <si>
    <t>SEC05_S5</t>
  </si>
  <si>
    <t>Labeling is enforced</t>
  </si>
  <si>
    <t>CAT07</t>
  </si>
  <si>
    <t>Development Standards &amp; Governance</t>
  </si>
  <si>
    <t>SUB31</t>
  </si>
  <si>
    <t>Standards</t>
  </si>
  <si>
    <t>GOV01</t>
  </si>
  <si>
    <t>Development standards documented</t>
  </si>
  <si>
    <t>Without standards, scaling leads to inconsistency and rework</t>
  </si>
  <si>
    <t>GOV01_S1</t>
  </si>
  <si>
    <t>Everyone builds their own way</t>
  </si>
  <si>
    <t>GOV01_S2</t>
  </si>
  <si>
    <t>Some guidelines exist</t>
  </si>
  <si>
    <t>GOV01_S3</t>
  </si>
  <si>
    <t>Standards exist but aren’t always followed</t>
  </si>
  <si>
    <t>GOV01_S4</t>
  </si>
  <si>
    <t>Standards are followed</t>
  </si>
  <si>
    <t>GOV01_S5</t>
  </si>
  <si>
    <t>Standards are enforced and reviewed</t>
  </si>
  <si>
    <t>SUB32</t>
  </si>
  <si>
    <t>Version Control</t>
  </si>
  <si>
    <t>GOV02</t>
  </si>
  <si>
    <t>Version control strategy exists</t>
  </si>
  <si>
    <t>Lack of versioning increases error and rollback risk</t>
  </si>
  <si>
    <t>GOV02_S1</t>
  </si>
  <si>
    <t>We overwrite files</t>
  </si>
  <si>
    <t>GOV02_S2</t>
  </si>
  <si>
    <t>We save copies manually</t>
  </si>
  <si>
    <t>GOV02_S3</t>
  </si>
  <si>
    <t>Some versioning exists</t>
  </si>
  <si>
    <t>GOV02_S4</t>
  </si>
  <si>
    <t>Version control is standard</t>
  </si>
  <si>
    <t>GOV02_S5</t>
  </si>
  <si>
    <t>Version control is integrated into delivery</t>
  </si>
  <si>
    <t>SUB33</t>
  </si>
  <si>
    <t>Deployment</t>
  </si>
  <si>
    <t>GOV03</t>
  </si>
  <si>
    <t>Deployment process defined</t>
  </si>
  <si>
    <t>Uncontrolled deployments risk breaking production</t>
  </si>
  <si>
    <t>GOV03_S1</t>
  </si>
  <si>
    <t>We publish directly to production</t>
  </si>
  <si>
    <t>GOV03_S2</t>
  </si>
  <si>
    <t>Deployments are manual and inconsistent</t>
  </si>
  <si>
    <t>GOV03_S3</t>
  </si>
  <si>
    <t>Some structure exists for deployments</t>
  </si>
  <si>
    <t>GOV03_S4</t>
  </si>
  <si>
    <t>Deployments follow a defined process</t>
  </si>
  <si>
    <t>GOV03_S5</t>
  </si>
  <si>
    <t>Deployments are automated</t>
  </si>
  <si>
    <t>SUB34</t>
  </si>
  <si>
    <t>Change Management</t>
  </si>
  <si>
    <t>GOV04</t>
  </si>
  <si>
    <t>Changes are communicated</t>
  </si>
  <si>
    <t>Uncommunicated changes disrupt business users</t>
  </si>
  <si>
    <t>GOV04_S1</t>
  </si>
  <si>
    <t>Users are surprised by changes</t>
  </si>
  <si>
    <t>GOV04_S2</t>
  </si>
  <si>
    <t>We sometimes inform users</t>
  </si>
  <si>
    <t>GOV04_S3</t>
  </si>
  <si>
    <t>Major changes are communicated</t>
  </si>
  <si>
    <t>GOV04_S4</t>
  </si>
  <si>
    <t>Changes are always communicated</t>
  </si>
  <si>
    <t>GOV04_S5</t>
  </si>
  <si>
    <t>Formal change management process exists</t>
  </si>
  <si>
    <t>SUB35</t>
  </si>
  <si>
    <t>Quality Control</t>
  </si>
  <si>
    <t>GOV05</t>
  </si>
  <si>
    <t>Peer review process exists</t>
  </si>
  <si>
    <t>Peer review improves quality but is not blocking</t>
  </si>
  <si>
    <t>GOV05_S1</t>
  </si>
  <si>
    <t>No reviews are done</t>
  </si>
  <si>
    <t>GOV05_S2</t>
  </si>
  <si>
    <t>Occasional informal reviews</t>
  </si>
  <si>
    <t>GOV05_S3</t>
  </si>
  <si>
    <t>Some peer review exists</t>
  </si>
  <si>
    <t>GOV05_S4</t>
  </si>
  <si>
    <t>Peer review is standard practice</t>
  </si>
  <si>
    <t>GOV05_S5</t>
  </si>
  <si>
    <t>Peer review is mandatory</t>
  </si>
  <si>
    <t>CAT08</t>
  </si>
  <si>
    <t>BI Operations</t>
  </si>
  <si>
    <t>SUB36</t>
  </si>
  <si>
    <t>OPS01</t>
  </si>
  <si>
    <t>Dataset ownership clearly defined</t>
  </si>
  <si>
    <t>Lack of ownership leads to orphaned and fragile assets</t>
  </si>
  <si>
    <t>OPS01_S1</t>
  </si>
  <si>
    <t>No clear owner exists</t>
  </si>
  <si>
    <t>OPS01_S2</t>
  </si>
  <si>
    <t>Ownership is informal</t>
  </si>
  <si>
    <t>OPS01_S3</t>
  </si>
  <si>
    <t>Most datasets have owners</t>
  </si>
  <si>
    <t>OPS01_S4</t>
  </si>
  <si>
    <t>Ownership is clearly defined</t>
  </si>
  <si>
    <t>OPS01_S5</t>
  </si>
  <si>
    <t>SUB37</t>
  </si>
  <si>
    <t>Monitoring</t>
  </si>
  <si>
    <t>OPS02</t>
  </si>
  <si>
    <t>Usage and refresh monitored</t>
  </si>
  <si>
    <t>Lack of monitoring prevents proactive issue resolution</t>
  </si>
  <si>
    <t>OPS02_S1</t>
  </si>
  <si>
    <t>We react when users complain</t>
  </si>
  <si>
    <t>OPS02_S2</t>
  </si>
  <si>
    <t>We check manually when needed</t>
  </si>
  <si>
    <t>OPS02_S3</t>
  </si>
  <si>
    <t>We review metrics occasionally</t>
  </si>
  <si>
    <t>OPS02_S4</t>
  </si>
  <si>
    <t>Monitoring is regular</t>
  </si>
  <si>
    <t>OPS02_S5</t>
  </si>
  <si>
    <t>Monitoring is proactive and automated</t>
  </si>
  <si>
    <t>SUB38</t>
  </si>
  <si>
    <t>Lifecycle Management</t>
  </si>
  <si>
    <t>OPS03</t>
  </si>
  <si>
    <t>Obsolete reports retired</t>
  </si>
  <si>
    <t>Old reports increase confusion and maintenance cost</t>
  </si>
  <si>
    <t>OPS03_S1</t>
  </si>
  <si>
    <t>Old reports stay forever</t>
  </si>
  <si>
    <t>OPS03_S2</t>
  </si>
  <si>
    <t>We rarely remove reports</t>
  </si>
  <si>
    <t>OPS03_S3</t>
  </si>
  <si>
    <t>Some cleanup happens</t>
  </si>
  <si>
    <t>OPS03_S4</t>
  </si>
  <si>
    <t>Reports are regularly reviewed</t>
  </si>
  <si>
    <t>OPS03_S5</t>
  </si>
  <si>
    <t>Formal lifecycle management exists</t>
  </si>
  <si>
    <t>SUB39</t>
  </si>
  <si>
    <t>Incident Management</t>
  </si>
  <si>
    <t>OPS04</t>
  </si>
  <si>
    <t>Incident response process exists</t>
  </si>
  <si>
    <t>Slow response increases downtime and user impact</t>
  </si>
  <si>
    <t>OPS04_S1</t>
  </si>
  <si>
    <t>No defined response process</t>
  </si>
  <si>
    <t>OPS04_S2</t>
  </si>
  <si>
    <t>We react ad hoc</t>
  </si>
  <si>
    <t>OPS04_S3</t>
  </si>
  <si>
    <t>Some process exists</t>
  </si>
  <si>
    <t>OPS04_S4</t>
  </si>
  <si>
    <t>Incidents follow a defined process</t>
  </si>
  <si>
    <t>OPS04_S5</t>
  </si>
  <si>
    <t>Incidents are tracked and reviewed</t>
  </si>
  <si>
    <t>SUB40</t>
  </si>
  <si>
    <t>Licensing</t>
  </si>
  <si>
    <t>OPS05</t>
  </si>
  <si>
    <t>Licensing strategy understood</t>
  </si>
  <si>
    <t>Poor licensing leads to unnecessary cost or constraints</t>
  </si>
  <si>
    <t>OPS05_S1</t>
  </si>
  <si>
    <t>We’re not sure what licenses we need</t>
  </si>
  <si>
    <t>OPS05_S2</t>
  </si>
  <si>
    <t>Licenses were bought ad hoc</t>
  </si>
  <si>
    <t>OPS05_S3</t>
  </si>
  <si>
    <t>Licensing mostly fits usage</t>
  </si>
  <si>
    <t>OPS05_S4</t>
  </si>
  <si>
    <t>Licensing is optimized</t>
  </si>
  <si>
    <t>OPS05_S5</t>
  </si>
  <si>
    <t>Licensing is reviewed strategically</t>
  </si>
  <si>
    <t>CAT09</t>
  </si>
  <si>
    <t>Adoption &amp; Enablement</t>
  </si>
  <si>
    <t>SUB41</t>
  </si>
  <si>
    <t>Training</t>
  </si>
  <si>
    <t>ADP01</t>
  </si>
  <si>
    <t>Users receive Power BI training</t>
  </si>
  <si>
    <t>Lack of training limits adoption and self-service</t>
  </si>
  <si>
    <t>ADP01_S1</t>
  </si>
  <si>
    <t>No formal training is provided</t>
  </si>
  <si>
    <t>ADP01_S2</t>
  </si>
  <si>
    <t>Some informal help exists</t>
  </si>
  <si>
    <t>ADP01_S3</t>
  </si>
  <si>
    <t>Basic training exists</t>
  </si>
  <si>
    <t>ADP01_S4</t>
  </si>
  <si>
    <t>Regular training sessions are held</t>
  </si>
  <si>
    <t>ADP01_S5</t>
  </si>
  <si>
    <t>Continuous enablement program exists</t>
  </si>
  <si>
    <t>SUB42</t>
  </si>
  <si>
    <t>Documentation</t>
  </si>
  <si>
    <t>ADP02</t>
  </si>
  <si>
    <t>Documentation accessible</t>
  </si>
  <si>
    <t>Poor documentation slows usage and support</t>
  </si>
  <si>
    <t>ADP02_S1</t>
  </si>
  <si>
    <t>No documentation exists</t>
  </si>
  <si>
    <t>ADP02_S2</t>
  </si>
  <si>
    <t>Some documents exist but are hard to find</t>
  </si>
  <si>
    <t>ADP02_S3</t>
  </si>
  <si>
    <t>Key documentation exists</t>
  </si>
  <si>
    <t>ADP02_S4</t>
  </si>
  <si>
    <t>Documentation is easy to find</t>
  </si>
  <si>
    <t>ADP02_S5</t>
  </si>
  <si>
    <t>Documentation is maintained and updated</t>
  </si>
  <si>
    <t>SUB43</t>
  </si>
  <si>
    <t>Support</t>
  </si>
  <si>
    <t>ADP03</t>
  </si>
  <si>
    <t>Clear support channels exist</t>
  </si>
  <si>
    <t>Unclear support increases frustration and delays</t>
  </si>
  <si>
    <t>ADP03_S1</t>
  </si>
  <si>
    <t>Users message whoever they know</t>
  </si>
  <si>
    <t>ADP03_S2</t>
  </si>
  <si>
    <t>Support is informal</t>
  </si>
  <si>
    <t>ADP03_S3</t>
  </si>
  <si>
    <t>Some support structure exists</t>
  </si>
  <si>
    <t>ADP03_S4</t>
  </si>
  <si>
    <t>Clear support channels are defined</t>
  </si>
  <si>
    <t>ADP03_S5</t>
  </si>
  <si>
    <t>Support SLAs exist</t>
  </si>
  <si>
    <t>SUB44</t>
  </si>
  <si>
    <t>Feedback</t>
  </si>
  <si>
    <t>ADP04</t>
  </si>
  <si>
    <t>User feedback collected</t>
  </si>
  <si>
    <t>Feedback enables continuous improvement</t>
  </si>
  <si>
    <t>ADP04_S1</t>
  </si>
  <si>
    <t>We don’t collect feedback</t>
  </si>
  <si>
    <t>ADP04_S2</t>
  </si>
  <si>
    <t>Feedback is ad hoc</t>
  </si>
  <si>
    <t>ADP04_S3</t>
  </si>
  <si>
    <t>Some feedback is collected</t>
  </si>
  <si>
    <t>ADP04_S4</t>
  </si>
  <si>
    <t>Feedback is structured</t>
  </si>
  <si>
    <t>ADP04_S5</t>
  </si>
  <si>
    <t>Feedback drives improvements</t>
  </si>
  <si>
    <t>SUB45</t>
  </si>
  <si>
    <t>Adoption Metrics</t>
  </si>
  <si>
    <t>ADP05</t>
  </si>
  <si>
    <t>Adoption metrics tracked</t>
  </si>
  <si>
    <t>Without metrics, adoption cannot be improved</t>
  </si>
  <si>
    <t>ADP05_S1</t>
  </si>
  <si>
    <t>We don’t track usage</t>
  </si>
  <si>
    <t>ADP05_S2</t>
  </si>
  <si>
    <t>We occasionally check usage</t>
  </si>
  <si>
    <t>ADP05_S3</t>
  </si>
  <si>
    <t>Usage metrics are reviewed</t>
  </si>
  <si>
    <t>ADP05_S4</t>
  </si>
  <si>
    <t>Adoption is actively tracked</t>
  </si>
  <si>
    <t>ADP05_S5</t>
  </si>
  <si>
    <t>Metrics drive decisions</t>
  </si>
  <si>
    <t>CAT10</t>
  </si>
  <si>
    <t>CoE Readiness</t>
  </si>
  <si>
    <t>SUB46</t>
  </si>
  <si>
    <t>Strategy</t>
  </si>
  <si>
    <t>COE01</t>
  </si>
  <si>
    <t>Power BI CoE strategy defined</t>
  </si>
  <si>
    <t>Without a CoE strategy, scale and governance break down</t>
  </si>
  <si>
    <t>COE01_S1</t>
  </si>
  <si>
    <t>No CoE strategy exists</t>
  </si>
  <si>
    <t>COE01_S2</t>
  </si>
  <si>
    <t>Some ideas exist but nothing formal</t>
  </si>
  <si>
    <t>COE01_S3</t>
  </si>
  <si>
    <t>Strategy exists but isn’t widely known</t>
  </si>
  <si>
    <t>COE01_S4</t>
  </si>
  <si>
    <t>Strategy is documented and shared</t>
  </si>
  <si>
    <t>COE01_S5</t>
  </si>
  <si>
    <t>Strategy is reviewed and executed</t>
  </si>
  <si>
    <t>SUB47</t>
  </si>
  <si>
    <t>Roles</t>
  </si>
  <si>
    <t>COE02</t>
  </si>
  <si>
    <t>CoE roles and responsibilities defined</t>
  </si>
  <si>
    <t>Undefined roles create bottlenecks and confusion</t>
  </si>
  <si>
    <t>COE02_S1</t>
  </si>
  <si>
    <t>No formal CoE roles exist</t>
  </si>
  <si>
    <t>COE02_S2</t>
  </si>
  <si>
    <t>Some informal roles exist</t>
  </si>
  <si>
    <t>COE02_S3</t>
  </si>
  <si>
    <t>Roles exist but are unclear</t>
  </si>
  <si>
    <t>COE02_S4</t>
  </si>
  <si>
    <t>Roles are clearly defined</t>
  </si>
  <si>
    <t>COE02_S5</t>
  </si>
  <si>
    <t>Roles are staffed and operational</t>
  </si>
  <si>
    <t>SUB48</t>
  </si>
  <si>
    <t>Operating Model</t>
  </si>
  <si>
    <t>COE03</t>
  </si>
  <si>
    <t>CoE operating model defined</t>
  </si>
  <si>
    <t>Operating model defines how CoE delivers value</t>
  </si>
  <si>
    <t>COE03_S1</t>
  </si>
  <si>
    <t>No operating model exists</t>
  </si>
  <si>
    <t>COE03_S2</t>
  </si>
  <si>
    <t>Some practices exist</t>
  </si>
  <si>
    <t>COE03_S3</t>
  </si>
  <si>
    <t>Operating model exists but isn’t consistent</t>
  </si>
  <si>
    <t>COE03_S4</t>
  </si>
  <si>
    <t>Operating model is defined</t>
  </si>
  <si>
    <t>COE03_S5</t>
  </si>
  <si>
    <t>Operating model is optimized</t>
  </si>
  <si>
    <t>SUB49</t>
  </si>
  <si>
    <t>Funding</t>
  </si>
  <si>
    <t>COE04</t>
  </si>
  <si>
    <t>CoE funding model defined</t>
  </si>
  <si>
    <t>Lack of funding limits sustainability</t>
  </si>
  <si>
    <t>COE04_S1</t>
  </si>
  <si>
    <t>No funding model exists</t>
  </si>
  <si>
    <t>COE04_S2</t>
  </si>
  <si>
    <t>Funding is ad hoc</t>
  </si>
  <si>
    <t>COE04_S3</t>
  </si>
  <si>
    <t>Some funding exists</t>
  </si>
  <si>
    <t>COE04_S4</t>
  </si>
  <si>
    <t>Funding is planned</t>
  </si>
  <si>
    <t>COE04_S5</t>
  </si>
  <si>
    <t>Funding is secured</t>
  </si>
  <si>
    <t>SUB50</t>
  </si>
  <si>
    <t>Maturity Tracking</t>
  </si>
  <si>
    <t>COE05</t>
  </si>
  <si>
    <t>Maturity tracked over time</t>
  </si>
  <si>
    <t>Tracking maturity enables continuous improvement</t>
  </si>
  <si>
    <t>COE05_S1</t>
  </si>
  <si>
    <t>We don’t track maturity</t>
  </si>
  <si>
    <t>COE05_S2</t>
  </si>
  <si>
    <t>We track occasionally</t>
  </si>
  <si>
    <t>COE05_S3</t>
  </si>
  <si>
    <t>Maturity is tracked</t>
  </si>
  <si>
    <t>COE05_S4</t>
  </si>
  <si>
    <t>Trends are reviewed</t>
  </si>
  <si>
    <t>COE05_S5</t>
  </si>
  <si>
    <t>Maturity drives roadmap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</si>
</sst>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3328F9-DBAA-42CB-80EA-998F9356B1B4}" name="Table5" displayName="Table5" ref="A1:N251" totalsRowShown="0">
  <autoFilter ref="A1:N251" xr:uid="{633328F9-DBAA-42CB-80EA-998F9356B1B4}"/>
  <tableColumns count="14">
    <tableColumn id="1" xr3:uid="{071AFD62-E97A-46BC-AF81-5DFB92144171}" name="CategoryID"/>
    <tableColumn id="2" xr3:uid="{F449B5DA-6E54-4DAB-9E01-FC88D45749DF}" name="Category"/>
    <tableColumn id="3" xr3:uid="{004E9FB2-B01D-442A-985B-BA2A2C58A9CC}" name="SubcategoryID"/>
    <tableColumn id="4" xr3:uid="{1059C341-E034-457B-B7FC-112FACAE30D3}" name="Subcategory"/>
    <tableColumn id="5" xr3:uid="{09609A34-E70A-45C6-BF26-65E15A79EEC4}" name="Pillar"/>
    <tableColumn id="6" xr3:uid="{69F1E2B7-4722-443C-BDB1-7B358AF5E861}" name="QuestionID"/>
    <tableColumn id="7" xr3:uid="{74ECD5C6-7A12-45FA-AF8C-654F507EB538}" name="Question"/>
    <tableColumn id="8" xr3:uid="{79359C05-50BE-4A53-86A3-DCB679E1596E}" name="Weight"/>
    <tableColumn id="9" xr3:uid="{DC321266-0569-40D7-9C46-E3F8E0B39F2E}" name="Why"/>
    <tableColumn id="10" xr3:uid="{9718460E-0EDA-42EE-A722-67DC26EE0B54}" name="Score"/>
    <tableColumn id="11" xr3:uid="{ABB0F2F4-11B9-40D0-8D9E-EA334D2E2E6E}" name="VerbalScoreID"/>
    <tableColumn id="12" xr3:uid="{56419D25-BCF7-43B3-8BFE-75DFCB487CF5}" name="VerbalScore"/>
    <tableColumn id="13" xr3:uid="{8076B851-E54C-4FE3-9284-42194D202314}" name="Risk Score" dataDxfId="0">
      <calculatedColumnFormula>(5-$J2)*H2</calculatedColumnFormula>
    </tableColumn>
    <tableColumn id="14" xr3:uid="{B469B5F9-0BEB-4E71-AF48-3F69E8BD221B}" name="Priority">
      <calculatedColumnFormula array="1">_xlfn.SWITCH(M2,12,"Fix now",11,"Fix now",10,"Fix now",9,"Fix now",8,"Plan",7,"Plan",6,"Plan",5,"Plan",4,"Accept",3,"Accept",2,"Accept",1,"Accept",0,"Accept")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3D0E-31EC-440A-A0FE-216444E746F8}">
  <dimension ref="A1:N251"/>
  <sheetViews>
    <sheetView tabSelected="1" workbookViewId="0">
      <selection sqref="A1:N251"/>
    </sheetView>
  </sheetViews>
  <sheetFormatPr defaultRowHeight="14.4" x14ac:dyDescent="0.3"/>
  <cols>
    <col min="1" max="1" width="12" customWidth="1"/>
    <col min="2" max="2" width="32.21875" bestFit="1" customWidth="1"/>
    <col min="3" max="3" width="15" customWidth="1"/>
    <col min="4" max="4" width="19.109375" bestFit="1" customWidth="1"/>
    <col min="6" max="6" width="12.109375" customWidth="1"/>
    <col min="7" max="7" width="10.33203125" customWidth="1"/>
    <col min="9" max="9" width="51.77734375" bestFit="1" customWidth="1"/>
    <col min="11" max="11" width="14.88671875" customWidth="1"/>
    <col min="12" max="12" width="52.44140625" bestFit="1" customWidth="1"/>
    <col min="13" max="13" width="11.5546875" customWidth="1"/>
    <col min="14" max="14" width="9" customWidth="1"/>
  </cols>
  <sheetData>
    <row r="1" spans="1:14" ht="28.8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0</v>
      </c>
      <c r="H1" t="s">
        <v>1</v>
      </c>
      <c r="I1" t="s">
        <v>2</v>
      </c>
      <c r="J1" t="s">
        <v>8</v>
      </c>
      <c r="K1" t="s">
        <v>93</v>
      </c>
      <c r="L1" t="s">
        <v>11</v>
      </c>
      <c r="M1" s="2" t="s">
        <v>9</v>
      </c>
      <c r="N1" s="3" t="s">
        <v>10</v>
      </c>
    </row>
    <row r="2" spans="1:14" x14ac:dyDescent="0.3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3</v>
      </c>
      <c r="G2" t="s">
        <v>12</v>
      </c>
      <c r="H2">
        <v>3</v>
      </c>
      <c r="I2" t="s">
        <v>13</v>
      </c>
      <c r="J2">
        <v>1</v>
      </c>
      <c r="K2" t="s">
        <v>99</v>
      </c>
      <c r="L2" t="s">
        <v>14</v>
      </c>
      <c r="M2" s="1">
        <f>(5-$J2)*H2</f>
        <v>12</v>
      </c>
      <c r="N2" t="str" cm="1">
        <f t="array" ref="N2">_xlfn.SWITCH(M2,12,"Fix now",11,"Fix now",10,"Fix now",9,"Fix now",8,"Plan",7,"Plan",6,"Plan",5,"Plan",4,"Accept",3,"Accept",2,"Accept",1,"Accept",0,"Accept")</f>
        <v>Fix now</v>
      </c>
    </row>
    <row r="3" spans="1:14" x14ac:dyDescent="0.3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3</v>
      </c>
      <c r="G3" t="s">
        <v>12</v>
      </c>
      <c r="H3">
        <v>3</v>
      </c>
      <c r="I3" t="s">
        <v>13</v>
      </c>
      <c r="J3">
        <v>2</v>
      </c>
      <c r="K3" t="s">
        <v>100</v>
      </c>
      <c r="L3" t="s">
        <v>15</v>
      </c>
      <c r="M3" s="1">
        <f t="shared" ref="M3:M66" si="0">(5-$J3)*H3</f>
        <v>9</v>
      </c>
      <c r="N3" t="str" cm="1">
        <f t="array" ref="N3">_xlfn.SWITCH(M3,12,"Fix now",11,"Fix now",10,"Fix now",9,"Fix now",8,"Plan",7,"Plan",6,"Plan",5,"Plan",4,"Accept",3,"Accept",2,"Accept",1,"Accept",0,"Accept")</f>
        <v>Fix now</v>
      </c>
    </row>
    <row r="4" spans="1:14" x14ac:dyDescent="0.3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3</v>
      </c>
      <c r="G4" t="s">
        <v>12</v>
      </c>
      <c r="H4">
        <v>3</v>
      </c>
      <c r="I4" t="s">
        <v>13</v>
      </c>
      <c r="J4">
        <v>3</v>
      </c>
      <c r="K4" t="s">
        <v>101</v>
      </c>
      <c r="L4" t="s">
        <v>16</v>
      </c>
      <c r="M4" s="1">
        <f t="shared" si="0"/>
        <v>6</v>
      </c>
      <c r="N4" t="str" cm="1">
        <f t="array" ref="N4">_xlfn.SWITCH(M4,12,"Fix now",11,"Fix now",10,"Fix now",9,"Fix now",8,"Plan",7,"Plan",6,"Plan",5,"Plan",4,"Accept",3,"Accept",2,"Accept",1,"Accept",0,"Accept")</f>
        <v>Plan</v>
      </c>
    </row>
    <row r="5" spans="1:14" x14ac:dyDescent="0.3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3</v>
      </c>
      <c r="G5" t="s">
        <v>12</v>
      </c>
      <c r="H5">
        <v>3</v>
      </c>
      <c r="I5" t="s">
        <v>13</v>
      </c>
      <c r="J5">
        <v>4</v>
      </c>
      <c r="K5" t="s">
        <v>102</v>
      </c>
      <c r="L5" t="s">
        <v>17</v>
      </c>
      <c r="M5" s="1">
        <f t="shared" si="0"/>
        <v>3</v>
      </c>
      <c r="N5" t="str" cm="1">
        <f t="array" ref="N5">_xlfn.SWITCH(M5,12,"Fix now",11,"Fix now",10,"Fix now",9,"Fix now",8,"Plan",7,"Plan",6,"Plan",5,"Plan",4,"Accept",3,"Accept",2,"Accept",1,"Accept",0,"Accept")</f>
        <v>Accept</v>
      </c>
    </row>
    <row r="6" spans="1:14" x14ac:dyDescent="0.3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3</v>
      </c>
      <c r="G6" t="s">
        <v>12</v>
      </c>
      <c r="H6">
        <v>3</v>
      </c>
      <c r="I6" t="s">
        <v>13</v>
      </c>
      <c r="J6">
        <v>5</v>
      </c>
      <c r="K6" t="s">
        <v>103</v>
      </c>
      <c r="L6" t="s">
        <v>18</v>
      </c>
      <c r="M6" s="1">
        <f t="shared" si="0"/>
        <v>0</v>
      </c>
      <c r="N6" t="str" cm="1">
        <f t="array" ref="N6">_xlfn.SWITCH(M6,12,"Fix now",11,"Fix now",10,"Fix now",9,"Fix now",8,"Plan",7,"Plan",6,"Plan",5,"Plan",4,"Accept",3,"Accept",2,"Accept",1,"Accept",0,"Accept")</f>
        <v>Accept</v>
      </c>
    </row>
    <row r="7" spans="1:14" x14ac:dyDescent="0.3">
      <c r="A7" t="s">
        <v>94</v>
      </c>
      <c r="B7" t="s">
        <v>95</v>
      </c>
      <c r="C7" t="s">
        <v>104</v>
      </c>
      <c r="D7" t="s">
        <v>105</v>
      </c>
      <c r="E7" t="s">
        <v>98</v>
      </c>
      <c r="F7" t="s">
        <v>4</v>
      </c>
      <c r="G7" t="s">
        <v>19</v>
      </c>
      <c r="H7">
        <v>2</v>
      </c>
      <c r="I7" t="s">
        <v>20</v>
      </c>
      <c r="J7">
        <v>1</v>
      </c>
      <c r="K7" t="s">
        <v>106</v>
      </c>
      <c r="L7" t="s">
        <v>21</v>
      </c>
      <c r="M7" s="1">
        <f t="shared" si="0"/>
        <v>8</v>
      </c>
      <c r="N7" t="str" cm="1">
        <f t="array" ref="N7">_xlfn.SWITCH(M7,12,"Fix now",11,"Fix now",10,"Fix now",9,"Fix now",8,"Plan",7,"Plan",6,"Plan",5,"Plan",4,"Accept",3,"Accept",2,"Accept",1,"Accept",0,"Accept")</f>
        <v>Plan</v>
      </c>
    </row>
    <row r="8" spans="1:14" x14ac:dyDescent="0.3">
      <c r="A8" t="s">
        <v>94</v>
      </c>
      <c r="B8" t="s">
        <v>95</v>
      </c>
      <c r="C8" t="s">
        <v>104</v>
      </c>
      <c r="D8" t="s">
        <v>105</v>
      </c>
      <c r="E8" t="s">
        <v>98</v>
      </c>
      <c r="F8" t="s">
        <v>4</v>
      </c>
      <c r="G8" t="s">
        <v>19</v>
      </c>
      <c r="H8">
        <v>2</v>
      </c>
      <c r="I8" t="s">
        <v>20</v>
      </c>
      <c r="J8">
        <v>2</v>
      </c>
      <c r="K8" t="s">
        <v>107</v>
      </c>
      <c r="L8" t="s">
        <v>22</v>
      </c>
      <c r="M8" s="1">
        <f t="shared" si="0"/>
        <v>6</v>
      </c>
      <c r="N8" t="str" cm="1">
        <f t="array" ref="N8">_xlfn.SWITCH(M8,12,"Fix now",11,"Fix now",10,"Fix now",9,"Fix now",8,"Plan",7,"Plan",6,"Plan",5,"Plan",4,"Accept",3,"Accept",2,"Accept",1,"Accept",0,"Accept")</f>
        <v>Plan</v>
      </c>
    </row>
    <row r="9" spans="1:14" x14ac:dyDescent="0.3">
      <c r="A9" t="s">
        <v>94</v>
      </c>
      <c r="B9" t="s">
        <v>95</v>
      </c>
      <c r="C9" t="s">
        <v>104</v>
      </c>
      <c r="D9" t="s">
        <v>105</v>
      </c>
      <c r="E9" t="s">
        <v>98</v>
      </c>
      <c r="F9" t="s">
        <v>4</v>
      </c>
      <c r="G9" t="s">
        <v>19</v>
      </c>
      <c r="H9">
        <v>2</v>
      </c>
      <c r="I9" t="s">
        <v>20</v>
      </c>
      <c r="J9">
        <v>3</v>
      </c>
      <c r="K9" t="s">
        <v>108</v>
      </c>
      <c r="L9" t="s">
        <v>23</v>
      </c>
      <c r="M9" s="1">
        <f t="shared" si="0"/>
        <v>4</v>
      </c>
      <c r="N9" t="str" cm="1">
        <f t="array" ref="N9">_xlfn.SWITCH(M9,12,"Fix now",11,"Fix now",10,"Fix now",9,"Fix now",8,"Plan",7,"Plan",6,"Plan",5,"Plan",4,"Accept",3,"Accept",2,"Accept",1,"Accept",0,"Accept")</f>
        <v>Accept</v>
      </c>
    </row>
    <row r="10" spans="1:14" x14ac:dyDescent="0.3">
      <c r="A10" t="s">
        <v>94</v>
      </c>
      <c r="B10" t="s">
        <v>95</v>
      </c>
      <c r="C10" t="s">
        <v>104</v>
      </c>
      <c r="D10" t="s">
        <v>105</v>
      </c>
      <c r="E10" t="s">
        <v>98</v>
      </c>
      <c r="F10" t="s">
        <v>4</v>
      </c>
      <c r="G10" t="s">
        <v>19</v>
      </c>
      <c r="H10">
        <v>2</v>
      </c>
      <c r="I10" t="s">
        <v>20</v>
      </c>
      <c r="J10">
        <v>4</v>
      </c>
      <c r="K10" t="s">
        <v>109</v>
      </c>
      <c r="L10" t="s">
        <v>24</v>
      </c>
      <c r="M10" s="1">
        <f t="shared" si="0"/>
        <v>2</v>
      </c>
      <c r="N10" t="str" cm="1">
        <f t="array" ref="N10">_xlfn.SWITCH(M10,12,"Fix now",11,"Fix now",10,"Fix now",9,"Fix now",8,"Plan",7,"Plan",6,"Plan",5,"Plan",4,"Accept",3,"Accept",2,"Accept",1,"Accept",0,"Accept")</f>
        <v>Accept</v>
      </c>
    </row>
    <row r="11" spans="1:14" x14ac:dyDescent="0.3">
      <c r="A11" t="s">
        <v>94</v>
      </c>
      <c r="B11" t="s">
        <v>95</v>
      </c>
      <c r="C11" t="s">
        <v>104</v>
      </c>
      <c r="D11" t="s">
        <v>105</v>
      </c>
      <c r="E11" t="s">
        <v>98</v>
      </c>
      <c r="F11" t="s">
        <v>4</v>
      </c>
      <c r="G11" t="s">
        <v>19</v>
      </c>
      <c r="H11">
        <v>2</v>
      </c>
      <c r="I11" t="s">
        <v>20</v>
      </c>
      <c r="J11">
        <v>5</v>
      </c>
      <c r="K11" t="s">
        <v>110</v>
      </c>
      <c r="L11" t="s">
        <v>25</v>
      </c>
      <c r="M11" s="1">
        <f t="shared" si="0"/>
        <v>0</v>
      </c>
      <c r="N11" t="str" cm="1">
        <f t="array" ref="N11">_xlfn.SWITCH(M11,12,"Fix now",11,"Fix now",10,"Fix now",9,"Fix now",8,"Plan",7,"Plan",6,"Plan",5,"Plan",4,"Accept",3,"Accept",2,"Accept",1,"Accept",0,"Accept")</f>
        <v>Accept</v>
      </c>
    </row>
    <row r="12" spans="1:14" x14ac:dyDescent="0.3">
      <c r="A12" t="s">
        <v>94</v>
      </c>
      <c r="B12" t="s">
        <v>95</v>
      </c>
      <c r="C12" t="s">
        <v>111</v>
      </c>
      <c r="D12" t="s">
        <v>112</v>
      </c>
      <c r="E12" t="s">
        <v>98</v>
      </c>
      <c r="F12" t="s">
        <v>5</v>
      </c>
      <c r="G12" t="s">
        <v>26</v>
      </c>
      <c r="H12">
        <v>3</v>
      </c>
      <c r="I12" t="s">
        <v>27</v>
      </c>
      <c r="J12">
        <v>1</v>
      </c>
      <c r="K12" t="s">
        <v>113</v>
      </c>
      <c r="L12" t="s">
        <v>28</v>
      </c>
      <c r="M12" s="1">
        <f t="shared" si="0"/>
        <v>12</v>
      </c>
      <c r="N12" t="str" cm="1">
        <f t="array" ref="N12">_xlfn.SWITCH(M12,12,"Fix now",11,"Fix now",10,"Fix now",9,"Fix now",8,"Plan",7,"Plan",6,"Plan",5,"Plan",4,"Accept",3,"Accept",2,"Accept",1,"Accept",0,"Accept")</f>
        <v>Fix now</v>
      </c>
    </row>
    <row r="13" spans="1:14" x14ac:dyDescent="0.3">
      <c r="A13" t="s">
        <v>94</v>
      </c>
      <c r="B13" t="s">
        <v>95</v>
      </c>
      <c r="C13" t="s">
        <v>111</v>
      </c>
      <c r="D13" t="s">
        <v>112</v>
      </c>
      <c r="E13" t="s">
        <v>98</v>
      </c>
      <c r="F13" t="s">
        <v>5</v>
      </c>
      <c r="G13" t="s">
        <v>26</v>
      </c>
      <c r="H13">
        <v>3</v>
      </c>
      <c r="I13" t="s">
        <v>27</v>
      </c>
      <c r="J13">
        <v>2</v>
      </c>
      <c r="K13" t="s">
        <v>114</v>
      </c>
      <c r="L13" t="s">
        <v>29</v>
      </c>
      <c r="M13" s="1">
        <f t="shared" si="0"/>
        <v>9</v>
      </c>
      <c r="N13" t="str" cm="1">
        <f t="array" ref="N13">_xlfn.SWITCH(M13,12,"Fix now",11,"Fix now",10,"Fix now",9,"Fix now",8,"Plan",7,"Plan",6,"Plan",5,"Plan",4,"Accept",3,"Accept",2,"Accept",1,"Accept",0,"Accept")</f>
        <v>Fix now</v>
      </c>
    </row>
    <row r="14" spans="1:14" x14ac:dyDescent="0.3">
      <c r="A14" t="s">
        <v>94</v>
      </c>
      <c r="B14" t="s">
        <v>95</v>
      </c>
      <c r="C14" t="s">
        <v>111</v>
      </c>
      <c r="D14" t="s">
        <v>112</v>
      </c>
      <c r="E14" t="s">
        <v>98</v>
      </c>
      <c r="F14" t="s">
        <v>5</v>
      </c>
      <c r="G14" t="s">
        <v>26</v>
      </c>
      <c r="H14">
        <v>3</v>
      </c>
      <c r="I14" t="s">
        <v>27</v>
      </c>
      <c r="J14">
        <v>3</v>
      </c>
      <c r="K14" t="s">
        <v>115</v>
      </c>
      <c r="L14" t="s">
        <v>30</v>
      </c>
      <c r="M14" s="1">
        <f t="shared" si="0"/>
        <v>6</v>
      </c>
      <c r="N14" t="str" cm="1">
        <f t="array" ref="N14">_xlfn.SWITCH(M14,12,"Fix now",11,"Fix now",10,"Fix now",9,"Fix now",8,"Plan",7,"Plan",6,"Plan",5,"Plan",4,"Accept",3,"Accept",2,"Accept",1,"Accept",0,"Accept")</f>
        <v>Plan</v>
      </c>
    </row>
    <row r="15" spans="1:14" x14ac:dyDescent="0.3">
      <c r="A15" t="s">
        <v>94</v>
      </c>
      <c r="B15" t="s">
        <v>95</v>
      </c>
      <c r="C15" t="s">
        <v>111</v>
      </c>
      <c r="D15" t="s">
        <v>112</v>
      </c>
      <c r="E15" t="s">
        <v>98</v>
      </c>
      <c r="F15" t="s">
        <v>5</v>
      </c>
      <c r="G15" t="s">
        <v>26</v>
      </c>
      <c r="H15">
        <v>3</v>
      </c>
      <c r="I15" t="s">
        <v>27</v>
      </c>
      <c r="J15">
        <v>4</v>
      </c>
      <c r="K15" t="s">
        <v>116</v>
      </c>
      <c r="L15" t="s">
        <v>31</v>
      </c>
      <c r="M15" s="1">
        <f t="shared" si="0"/>
        <v>3</v>
      </c>
      <c r="N15" t="str" cm="1">
        <f t="array" ref="N15">_xlfn.SWITCH(M15,12,"Fix now",11,"Fix now",10,"Fix now",9,"Fix now",8,"Plan",7,"Plan",6,"Plan",5,"Plan",4,"Accept",3,"Accept",2,"Accept",1,"Accept",0,"Accept")</f>
        <v>Accept</v>
      </c>
    </row>
    <row r="16" spans="1:14" x14ac:dyDescent="0.3">
      <c r="A16" t="s">
        <v>94</v>
      </c>
      <c r="B16" t="s">
        <v>95</v>
      </c>
      <c r="C16" t="s">
        <v>111</v>
      </c>
      <c r="D16" t="s">
        <v>112</v>
      </c>
      <c r="E16" t="s">
        <v>98</v>
      </c>
      <c r="F16" t="s">
        <v>5</v>
      </c>
      <c r="G16" t="s">
        <v>26</v>
      </c>
      <c r="H16">
        <v>3</v>
      </c>
      <c r="I16" t="s">
        <v>27</v>
      </c>
      <c r="J16">
        <v>5</v>
      </c>
      <c r="K16" t="s">
        <v>117</v>
      </c>
      <c r="L16" t="s">
        <v>32</v>
      </c>
      <c r="M16" s="1">
        <f t="shared" si="0"/>
        <v>0</v>
      </c>
      <c r="N16" t="str" cm="1">
        <f t="array" ref="N16">_xlfn.SWITCH(M16,12,"Fix now",11,"Fix now",10,"Fix now",9,"Fix now",8,"Plan",7,"Plan",6,"Plan",5,"Plan",4,"Accept",3,"Accept",2,"Accept",1,"Accept",0,"Accept")</f>
        <v>Accept</v>
      </c>
    </row>
    <row r="17" spans="1:14" x14ac:dyDescent="0.3">
      <c r="A17" t="s">
        <v>94</v>
      </c>
      <c r="B17" t="s">
        <v>95</v>
      </c>
      <c r="C17" t="s">
        <v>118</v>
      </c>
      <c r="D17" t="s">
        <v>119</v>
      </c>
      <c r="E17" t="s">
        <v>98</v>
      </c>
      <c r="F17" t="s">
        <v>6</v>
      </c>
      <c r="G17" t="s">
        <v>33</v>
      </c>
      <c r="H17">
        <v>2</v>
      </c>
      <c r="I17" t="s">
        <v>34</v>
      </c>
      <c r="J17">
        <v>1</v>
      </c>
      <c r="K17" t="s">
        <v>120</v>
      </c>
      <c r="L17" t="s">
        <v>35</v>
      </c>
      <c r="M17" s="1">
        <f t="shared" si="0"/>
        <v>8</v>
      </c>
      <c r="N17" t="str" cm="1">
        <f t="array" ref="N17">_xlfn.SWITCH(M17,12,"Fix now",11,"Fix now",10,"Fix now",9,"Fix now",8,"Plan",7,"Plan",6,"Plan",5,"Plan",4,"Accept",3,"Accept",2,"Accept",1,"Accept",0,"Accept")</f>
        <v>Plan</v>
      </c>
    </row>
    <row r="18" spans="1:14" x14ac:dyDescent="0.3">
      <c r="A18" t="s">
        <v>94</v>
      </c>
      <c r="B18" t="s">
        <v>95</v>
      </c>
      <c r="C18" t="s">
        <v>118</v>
      </c>
      <c r="D18" t="s">
        <v>119</v>
      </c>
      <c r="E18" t="s">
        <v>98</v>
      </c>
      <c r="F18" t="s">
        <v>6</v>
      </c>
      <c r="G18" t="s">
        <v>33</v>
      </c>
      <c r="H18">
        <v>2</v>
      </c>
      <c r="I18" t="s">
        <v>34</v>
      </c>
      <c r="J18">
        <v>2</v>
      </c>
      <c r="K18" t="s">
        <v>121</v>
      </c>
      <c r="L18" t="s">
        <v>36</v>
      </c>
      <c r="M18" s="1">
        <f t="shared" si="0"/>
        <v>6</v>
      </c>
      <c r="N18" t="str" cm="1">
        <f t="array" ref="N18">_xlfn.SWITCH(M18,12,"Fix now",11,"Fix now",10,"Fix now",9,"Fix now",8,"Plan",7,"Plan",6,"Plan",5,"Plan",4,"Accept",3,"Accept",2,"Accept",1,"Accept",0,"Accept")</f>
        <v>Plan</v>
      </c>
    </row>
    <row r="19" spans="1:14" x14ac:dyDescent="0.3">
      <c r="A19" t="s">
        <v>94</v>
      </c>
      <c r="B19" t="s">
        <v>95</v>
      </c>
      <c r="C19" t="s">
        <v>118</v>
      </c>
      <c r="D19" t="s">
        <v>119</v>
      </c>
      <c r="E19" t="s">
        <v>98</v>
      </c>
      <c r="F19" t="s">
        <v>6</v>
      </c>
      <c r="G19" t="s">
        <v>33</v>
      </c>
      <c r="H19">
        <v>2</v>
      </c>
      <c r="I19" t="s">
        <v>34</v>
      </c>
      <c r="J19">
        <v>3</v>
      </c>
      <c r="K19" t="s">
        <v>122</v>
      </c>
      <c r="L19" t="s">
        <v>37</v>
      </c>
      <c r="M19" s="1">
        <f t="shared" si="0"/>
        <v>4</v>
      </c>
      <c r="N19" t="str" cm="1">
        <f t="array" ref="N19">_xlfn.SWITCH(M19,12,"Fix now",11,"Fix now",10,"Fix now",9,"Fix now",8,"Plan",7,"Plan",6,"Plan",5,"Plan",4,"Accept",3,"Accept",2,"Accept",1,"Accept",0,"Accept")</f>
        <v>Accept</v>
      </c>
    </row>
    <row r="20" spans="1:14" x14ac:dyDescent="0.3">
      <c r="A20" t="s">
        <v>94</v>
      </c>
      <c r="B20" t="s">
        <v>95</v>
      </c>
      <c r="C20" t="s">
        <v>118</v>
      </c>
      <c r="D20" t="s">
        <v>119</v>
      </c>
      <c r="E20" t="s">
        <v>98</v>
      </c>
      <c r="F20" t="s">
        <v>6</v>
      </c>
      <c r="G20" t="s">
        <v>33</v>
      </c>
      <c r="H20">
        <v>2</v>
      </c>
      <c r="I20" t="s">
        <v>34</v>
      </c>
      <c r="J20">
        <v>4</v>
      </c>
      <c r="K20" t="s">
        <v>123</v>
      </c>
      <c r="L20" t="s">
        <v>38</v>
      </c>
      <c r="M20" s="1">
        <f t="shared" si="0"/>
        <v>2</v>
      </c>
      <c r="N20" t="str" cm="1">
        <f t="array" ref="N20">_xlfn.SWITCH(M20,12,"Fix now",11,"Fix now",10,"Fix now",9,"Fix now",8,"Plan",7,"Plan",6,"Plan",5,"Plan",4,"Accept",3,"Accept",2,"Accept",1,"Accept",0,"Accept")</f>
        <v>Accept</v>
      </c>
    </row>
    <row r="21" spans="1:14" x14ac:dyDescent="0.3">
      <c r="A21" t="s">
        <v>94</v>
      </c>
      <c r="B21" t="s">
        <v>95</v>
      </c>
      <c r="C21" t="s">
        <v>118</v>
      </c>
      <c r="D21" t="s">
        <v>119</v>
      </c>
      <c r="E21" t="s">
        <v>98</v>
      </c>
      <c r="F21" t="s">
        <v>6</v>
      </c>
      <c r="G21" t="s">
        <v>33</v>
      </c>
      <c r="H21">
        <v>2</v>
      </c>
      <c r="I21" t="s">
        <v>34</v>
      </c>
      <c r="J21">
        <v>5</v>
      </c>
      <c r="K21" t="s">
        <v>124</v>
      </c>
      <c r="L21" t="s">
        <v>39</v>
      </c>
      <c r="M21" s="1">
        <f t="shared" si="0"/>
        <v>0</v>
      </c>
      <c r="N21" t="str" cm="1">
        <f t="array" ref="N21">_xlfn.SWITCH(M21,12,"Fix now",11,"Fix now",10,"Fix now",9,"Fix now",8,"Plan",7,"Plan",6,"Plan",5,"Plan",4,"Accept",3,"Accept",2,"Accept",1,"Accept",0,"Accept")</f>
        <v>Accept</v>
      </c>
    </row>
    <row r="22" spans="1:14" x14ac:dyDescent="0.3">
      <c r="A22" t="s">
        <v>94</v>
      </c>
      <c r="B22" t="s">
        <v>95</v>
      </c>
      <c r="C22" t="s">
        <v>125</v>
      </c>
      <c r="D22" t="s">
        <v>126</v>
      </c>
      <c r="E22" t="s">
        <v>98</v>
      </c>
      <c r="F22" t="s">
        <v>7</v>
      </c>
      <c r="G22" t="s">
        <v>40</v>
      </c>
      <c r="H22">
        <v>2</v>
      </c>
      <c r="I22" t="s">
        <v>41</v>
      </c>
      <c r="J22">
        <v>1</v>
      </c>
      <c r="K22" t="s">
        <v>127</v>
      </c>
      <c r="L22" t="s">
        <v>42</v>
      </c>
      <c r="M22" s="1">
        <f t="shared" si="0"/>
        <v>8</v>
      </c>
      <c r="N22" t="str" cm="1">
        <f t="array" ref="N22">_xlfn.SWITCH(M22,12,"Fix now",11,"Fix now",10,"Fix now",9,"Fix now",8,"Plan",7,"Plan",6,"Plan",5,"Plan",4,"Accept",3,"Accept",2,"Accept",1,"Accept",0,"Accept")</f>
        <v>Plan</v>
      </c>
    </row>
    <row r="23" spans="1:14" x14ac:dyDescent="0.3">
      <c r="A23" t="s">
        <v>94</v>
      </c>
      <c r="B23" t="s">
        <v>95</v>
      </c>
      <c r="C23" t="s">
        <v>125</v>
      </c>
      <c r="D23" t="s">
        <v>126</v>
      </c>
      <c r="E23" t="s">
        <v>98</v>
      </c>
      <c r="F23" t="s">
        <v>7</v>
      </c>
      <c r="G23" t="s">
        <v>40</v>
      </c>
      <c r="H23">
        <v>2</v>
      </c>
      <c r="I23" t="s">
        <v>41</v>
      </c>
      <c r="J23">
        <v>2</v>
      </c>
      <c r="K23" t="s">
        <v>128</v>
      </c>
      <c r="L23" t="s">
        <v>43</v>
      </c>
      <c r="M23" s="1">
        <f t="shared" si="0"/>
        <v>6</v>
      </c>
      <c r="N23" t="str" cm="1">
        <f t="array" ref="N23">_xlfn.SWITCH(M23,12,"Fix now",11,"Fix now",10,"Fix now",9,"Fix now",8,"Plan",7,"Plan",6,"Plan",5,"Plan",4,"Accept",3,"Accept",2,"Accept",1,"Accept",0,"Accept")</f>
        <v>Plan</v>
      </c>
    </row>
    <row r="24" spans="1:14" x14ac:dyDescent="0.3">
      <c r="A24" t="s">
        <v>94</v>
      </c>
      <c r="B24" t="s">
        <v>95</v>
      </c>
      <c r="C24" t="s">
        <v>125</v>
      </c>
      <c r="D24" t="s">
        <v>126</v>
      </c>
      <c r="E24" t="s">
        <v>98</v>
      </c>
      <c r="F24" t="s">
        <v>7</v>
      </c>
      <c r="G24" t="s">
        <v>40</v>
      </c>
      <c r="H24">
        <v>2</v>
      </c>
      <c r="I24" t="s">
        <v>41</v>
      </c>
      <c r="J24">
        <v>3</v>
      </c>
      <c r="K24" t="s">
        <v>129</v>
      </c>
      <c r="L24" t="s">
        <v>44</v>
      </c>
      <c r="M24" s="1">
        <f t="shared" si="0"/>
        <v>4</v>
      </c>
      <c r="N24" t="str" cm="1">
        <f t="array" ref="N24">_xlfn.SWITCH(M24,12,"Fix now",11,"Fix now",10,"Fix now",9,"Fix now",8,"Plan",7,"Plan",6,"Plan",5,"Plan",4,"Accept",3,"Accept",2,"Accept",1,"Accept",0,"Accept")</f>
        <v>Accept</v>
      </c>
    </row>
    <row r="25" spans="1:14" x14ac:dyDescent="0.3">
      <c r="A25" t="s">
        <v>94</v>
      </c>
      <c r="B25" t="s">
        <v>95</v>
      </c>
      <c r="C25" t="s">
        <v>125</v>
      </c>
      <c r="D25" t="s">
        <v>126</v>
      </c>
      <c r="E25" t="s">
        <v>98</v>
      </c>
      <c r="F25" t="s">
        <v>7</v>
      </c>
      <c r="G25" t="s">
        <v>40</v>
      </c>
      <c r="H25">
        <v>2</v>
      </c>
      <c r="I25" t="s">
        <v>41</v>
      </c>
      <c r="J25">
        <v>4</v>
      </c>
      <c r="K25" t="s">
        <v>130</v>
      </c>
      <c r="L25" t="s">
        <v>45</v>
      </c>
      <c r="M25" s="1">
        <f t="shared" si="0"/>
        <v>2</v>
      </c>
      <c r="N25" t="str" cm="1">
        <f t="array" ref="N25">_xlfn.SWITCH(M25,12,"Fix now",11,"Fix now",10,"Fix now",9,"Fix now",8,"Plan",7,"Plan",6,"Plan",5,"Plan",4,"Accept",3,"Accept",2,"Accept",1,"Accept",0,"Accept")</f>
        <v>Accept</v>
      </c>
    </row>
    <row r="26" spans="1:14" x14ac:dyDescent="0.3">
      <c r="A26" t="s">
        <v>94</v>
      </c>
      <c r="B26" t="s">
        <v>95</v>
      </c>
      <c r="C26" t="s">
        <v>125</v>
      </c>
      <c r="D26" t="s">
        <v>126</v>
      </c>
      <c r="E26" t="s">
        <v>98</v>
      </c>
      <c r="F26" t="s">
        <v>7</v>
      </c>
      <c r="G26" t="s">
        <v>40</v>
      </c>
      <c r="H26">
        <v>2</v>
      </c>
      <c r="I26" t="s">
        <v>41</v>
      </c>
      <c r="J26">
        <v>5</v>
      </c>
      <c r="K26" t="s">
        <v>131</v>
      </c>
      <c r="L26" t="s">
        <v>46</v>
      </c>
      <c r="M26" s="1">
        <f t="shared" si="0"/>
        <v>0</v>
      </c>
      <c r="N26" t="str" cm="1">
        <f t="array" ref="N26">_xlfn.SWITCH(M26,12,"Fix now",11,"Fix now",10,"Fix now",9,"Fix now",8,"Plan",7,"Plan",6,"Plan",5,"Plan",4,"Accept",3,"Accept",2,"Accept",1,"Accept",0,"Accept")</f>
        <v>Accept</v>
      </c>
    </row>
    <row r="27" spans="1:14" x14ac:dyDescent="0.3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47</v>
      </c>
      <c r="G27" t="s">
        <v>48</v>
      </c>
      <c r="H27">
        <v>1</v>
      </c>
      <c r="I27" t="s">
        <v>49</v>
      </c>
      <c r="J27">
        <v>1</v>
      </c>
      <c r="K27" t="s">
        <v>137</v>
      </c>
      <c r="L27" t="s">
        <v>50</v>
      </c>
      <c r="M27" s="1">
        <f t="shared" si="0"/>
        <v>4</v>
      </c>
      <c r="N27" t="str" cm="1">
        <f t="array" ref="N27">_xlfn.SWITCH(M27,12,"Fix now",11,"Fix now",10,"Fix now",9,"Fix now",8,"Plan",7,"Plan",6,"Plan",5,"Plan",4,"Accept",3,"Accept",2,"Accept",1,"Accept",0,"Accept")</f>
        <v>Accept</v>
      </c>
    </row>
    <row r="28" spans="1:14" x14ac:dyDescent="0.3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47</v>
      </c>
      <c r="G28" t="s">
        <v>48</v>
      </c>
      <c r="H28">
        <v>1</v>
      </c>
      <c r="I28" t="s">
        <v>49</v>
      </c>
      <c r="J28">
        <v>2</v>
      </c>
      <c r="K28" t="s">
        <v>138</v>
      </c>
      <c r="L28" t="s">
        <v>51</v>
      </c>
      <c r="M28" s="1">
        <f t="shared" si="0"/>
        <v>3</v>
      </c>
      <c r="N28" t="str" cm="1">
        <f t="array" ref="N28">_xlfn.SWITCH(M28,12,"Fix now",11,"Fix now",10,"Fix now",9,"Fix now",8,"Plan",7,"Plan",6,"Plan",5,"Plan",4,"Accept",3,"Accept",2,"Accept",1,"Accept",0,"Accept")</f>
        <v>Accept</v>
      </c>
    </row>
    <row r="29" spans="1:14" x14ac:dyDescent="0.3">
      <c r="A29" t="s">
        <v>132</v>
      </c>
      <c r="B29" t="s">
        <v>133</v>
      </c>
      <c r="C29" t="s">
        <v>134</v>
      </c>
      <c r="D29" t="s">
        <v>135</v>
      </c>
      <c r="E29" t="s">
        <v>136</v>
      </c>
      <c r="F29" t="s">
        <v>47</v>
      </c>
      <c r="G29" t="s">
        <v>48</v>
      </c>
      <c r="H29">
        <v>1</v>
      </c>
      <c r="I29" t="s">
        <v>49</v>
      </c>
      <c r="J29">
        <v>3</v>
      </c>
      <c r="K29" t="s">
        <v>139</v>
      </c>
      <c r="L29" t="s">
        <v>52</v>
      </c>
      <c r="M29" s="1">
        <f t="shared" si="0"/>
        <v>2</v>
      </c>
      <c r="N29" t="str" cm="1">
        <f t="array" ref="N29">_xlfn.SWITCH(M29,12,"Fix now",11,"Fix now",10,"Fix now",9,"Fix now",8,"Plan",7,"Plan",6,"Plan",5,"Plan",4,"Accept",3,"Accept",2,"Accept",1,"Accept",0,"Accept")</f>
        <v>Accept</v>
      </c>
    </row>
    <row r="30" spans="1:14" x14ac:dyDescent="0.3">
      <c r="A30" t="s">
        <v>132</v>
      </c>
      <c r="B30" t="s">
        <v>133</v>
      </c>
      <c r="C30" t="s">
        <v>134</v>
      </c>
      <c r="D30" t="s">
        <v>135</v>
      </c>
      <c r="E30" t="s">
        <v>136</v>
      </c>
      <c r="F30" t="s">
        <v>47</v>
      </c>
      <c r="G30" t="s">
        <v>48</v>
      </c>
      <c r="H30">
        <v>1</v>
      </c>
      <c r="I30" t="s">
        <v>49</v>
      </c>
      <c r="J30">
        <v>4</v>
      </c>
      <c r="K30" t="s">
        <v>140</v>
      </c>
      <c r="L30" t="s">
        <v>53</v>
      </c>
      <c r="M30" s="1">
        <f t="shared" si="0"/>
        <v>1</v>
      </c>
      <c r="N30" t="str" cm="1">
        <f t="array" ref="N30">_xlfn.SWITCH(M30,12,"Fix now",11,"Fix now",10,"Fix now",9,"Fix now",8,"Plan",7,"Plan",6,"Plan",5,"Plan",4,"Accept",3,"Accept",2,"Accept",1,"Accept",0,"Accept")</f>
        <v>Accept</v>
      </c>
    </row>
    <row r="31" spans="1:14" x14ac:dyDescent="0.3">
      <c r="A31" t="s">
        <v>132</v>
      </c>
      <c r="B31" t="s">
        <v>133</v>
      </c>
      <c r="C31" t="s">
        <v>134</v>
      </c>
      <c r="D31" t="s">
        <v>135</v>
      </c>
      <c r="E31" t="s">
        <v>136</v>
      </c>
      <c r="F31" t="s">
        <v>47</v>
      </c>
      <c r="G31" t="s">
        <v>48</v>
      </c>
      <c r="H31">
        <v>1</v>
      </c>
      <c r="I31" t="s">
        <v>49</v>
      </c>
      <c r="J31">
        <v>5</v>
      </c>
      <c r="K31" t="s">
        <v>141</v>
      </c>
      <c r="L31" t="s">
        <v>54</v>
      </c>
      <c r="M31" s="1">
        <f t="shared" si="0"/>
        <v>0</v>
      </c>
      <c r="N31" t="str" cm="1">
        <f t="array" ref="N31">_xlfn.SWITCH(M31,12,"Fix now",11,"Fix now",10,"Fix now",9,"Fix now",8,"Plan",7,"Plan",6,"Plan",5,"Plan",4,"Accept",3,"Accept",2,"Accept",1,"Accept",0,"Accept")</f>
        <v>Accept</v>
      </c>
    </row>
    <row r="32" spans="1:14" x14ac:dyDescent="0.3">
      <c r="A32" t="s">
        <v>132</v>
      </c>
      <c r="B32" t="s">
        <v>133</v>
      </c>
      <c r="C32" t="s">
        <v>142</v>
      </c>
      <c r="D32" t="s">
        <v>143</v>
      </c>
      <c r="E32" t="s">
        <v>136</v>
      </c>
      <c r="F32" t="s">
        <v>55</v>
      </c>
      <c r="G32" t="s">
        <v>56</v>
      </c>
      <c r="H32">
        <v>3</v>
      </c>
      <c r="I32" t="s">
        <v>57</v>
      </c>
      <c r="J32">
        <v>1</v>
      </c>
      <c r="K32" t="s">
        <v>144</v>
      </c>
      <c r="L32" t="s">
        <v>58</v>
      </c>
      <c r="M32" s="1">
        <f t="shared" si="0"/>
        <v>12</v>
      </c>
      <c r="N32" t="str" cm="1">
        <f t="array" ref="N32">_xlfn.SWITCH(M32,12,"Fix now",11,"Fix now",10,"Fix now",9,"Fix now",8,"Plan",7,"Plan",6,"Plan",5,"Plan",4,"Accept",3,"Accept",2,"Accept",1,"Accept",0,"Accept")</f>
        <v>Fix now</v>
      </c>
    </row>
    <row r="33" spans="1:14" x14ac:dyDescent="0.3">
      <c r="A33" t="s">
        <v>132</v>
      </c>
      <c r="B33" t="s">
        <v>133</v>
      </c>
      <c r="C33" t="s">
        <v>142</v>
      </c>
      <c r="D33" t="s">
        <v>143</v>
      </c>
      <c r="E33" t="s">
        <v>136</v>
      </c>
      <c r="F33" t="s">
        <v>55</v>
      </c>
      <c r="G33" t="s">
        <v>56</v>
      </c>
      <c r="H33">
        <v>3</v>
      </c>
      <c r="I33" t="s">
        <v>57</v>
      </c>
      <c r="J33">
        <v>2</v>
      </c>
      <c r="K33" t="s">
        <v>145</v>
      </c>
      <c r="L33" t="s">
        <v>59</v>
      </c>
      <c r="M33" s="1">
        <f t="shared" si="0"/>
        <v>9</v>
      </c>
      <c r="N33" t="str" cm="1">
        <f t="array" ref="N33">_xlfn.SWITCH(M33,12,"Fix now",11,"Fix now",10,"Fix now",9,"Fix now",8,"Plan",7,"Plan",6,"Plan",5,"Plan",4,"Accept",3,"Accept",2,"Accept",1,"Accept",0,"Accept")</f>
        <v>Fix now</v>
      </c>
    </row>
    <row r="34" spans="1:14" x14ac:dyDescent="0.3">
      <c r="A34" t="s">
        <v>132</v>
      </c>
      <c r="B34" t="s">
        <v>133</v>
      </c>
      <c r="C34" t="s">
        <v>142</v>
      </c>
      <c r="D34" t="s">
        <v>143</v>
      </c>
      <c r="E34" t="s">
        <v>136</v>
      </c>
      <c r="F34" t="s">
        <v>55</v>
      </c>
      <c r="G34" t="s">
        <v>56</v>
      </c>
      <c r="H34">
        <v>3</v>
      </c>
      <c r="I34" t="s">
        <v>57</v>
      </c>
      <c r="J34">
        <v>3</v>
      </c>
      <c r="K34" t="s">
        <v>146</v>
      </c>
      <c r="L34" t="s">
        <v>60</v>
      </c>
      <c r="M34" s="1">
        <f t="shared" si="0"/>
        <v>6</v>
      </c>
      <c r="N34" t="str" cm="1">
        <f t="array" ref="N34">_xlfn.SWITCH(M34,12,"Fix now",11,"Fix now",10,"Fix now",9,"Fix now",8,"Plan",7,"Plan",6,"Plan",5,"Plan",4,"Accept",3,"Accept",2,"Accept",1,"Accept",0,"Accept")</f>
        <v>Plan</v>
      </c>
    </row>
    <row r="35" spans="1:14" x14ac:dyDescent="0.3">
      <c r="A35" t="s">
        <v>132</v>
      </c>
      <c r="B35" t="s">
        <v>133</v>
      </c>
      <c r="C35" t="s">
        <v>142</v>
      </c>
      <c r="D35" t="s">
        <v>143</v>
      </c>
      <c r="E35" t="s">
        <v>136</v>
      </c>
      <c r="F35" t="s">
        <v>55</v>
      </c>
      <c r="G35" t="s">
        <v>56</v>
      </c>
      <c r="H35">
        <v>3</v>
      </c>
      <c r="I35" t="s">
        <v>57</v>
      </c>
      <c r="J35">
        <v>4</v>
      </c>
      <c r="K35" t="s">
        <v>147</v>
      </c>
      <c r="L35" t="s">
        <v>61</v>
      </c>
      <c r="M35" s="1">
        <f t="shared" si="0"/>
        <v>3</v>
      </c>
      <c r="N35" t="str" cm="1">
        <f t="array" ref="N35">_xlfn.SWITCH(M35,12,"Fix now",11,"Fix now",10,"Fix now",9,"Fix now",8,"Plan",7,"Plan",6,"Plan",5,"Plan",4,"Accept",3,"Accept",2,"Accept",1,"Accept",0,"Accept")</f>
        <v>Accept</v>
      </c>
    </row>
    <row r="36" spans="1:14" x14ac:dyDescent="0.3">
      <c r="A36" t="s">
        <v>132</v>
      </c>
      <c r="B36" t="s">
        <v>133</v>
      </c>
      <c r="C36" t="s">
        <v>142</v>
      </c>
      <c r="D36" t="s">
        <v>143</v>
      </c>
      <c r="E36" t="s">
        <v>136</v>
      </c>
      <c r="F36" t="s">
        <v>55</v>
      </c>
      <c r="G36" t="s">
        <v>56</v>
      </c>
      <c r="H36">
        <v>3</v>
      </c>
      <c r="I36" t="s">
        <v>57</v>
      </c>
      <c r="J36">
        <v>5</v>
      </c>
      <c r="K36" t="s">
        <v>148</v>
      </c>
      <c r="L36" t="s">
        <v>62</v>
      </c>
      <c r="M36" s="1">
        <f t="shared" si="0"/>
        <v>0</v>
      </c>
      <c r="N36" t="str" cm="1">
        <f t="array" ref="N36">_xlfn.SWITCH(M36,12,"Fix now",11,"Fix now",10,"Fix now",9,"Fix now",8,"Plan",7,"Plan",6,"Plan",5,"Plan",4,"Accept",3,"Accept",2,"Accept",1,"Accept",0,"Accept")</f>
        <v>Accept</v>
      </c>
    </row>
    <row r="37" spans="1:14" x14ac:dyDescent="0.3">
      <c r="A37" t="s">
        <v>132</v>
      </c>
      <c r="B37" t="s">
        <v>133</v>
      </c>
      <c r="C37" t="s">
        <v>149</v>
      </c>
      <c r="D37" t="s">
        <v>119</v>
      </c>
      <c r="E37" t="s">
        <v>136</v>
      </c>
      <c r="F37" t="s">
        <v>63</v>
      </c>
      <c r="G37" t="s">
        <v>64</v>
      </c>
      <c r="H37">
        <v>2</v>
      </c>
      <c r="I37" t="s">
        <v>65</v>
      </c>
      <c r="J37">
        <v>1</v>
      </c>
      <c r="K37" t="s">
        <v>150</v>
      </c>
      <c r="L37" t="s">
        <v>66</v>
      </c>
      <c r="M37" s="1">
        <f t="shared" si="0"/>
        <v>8</v>
      </c>
      <c r="N37" t="str" cm="1">
        <f t="array" ref="N37">_xlfn.SWITCH(M37,12,"Fix now",11,"Fix now",10,"Fix now",9,"Fix now",8,"Plan",7,"Plan",6,"Plan",5,"Plan",4,"Accept",3,"Accept",2,"Accept",1,"Accept",0,"Accept")</f>
        <v>Plan</v>
      </c>
    </row>
    <row r="38" spans="1:14" x14ac:dyDescent="0.3">
      <c r="A38" t="s">
        <v>132</v>
      </c>
      <c r="B38" t="s">
        <v>133</v>
      </c>
      <c r="C38" t="s">
        <v>149</v>
      </c>
      <c r="D38" t="s">
        <v>119</v>
      </c>
      <c r="E38" t="s">
        <v>136</v>
      </c>
      <c r="F38" t="s">
        <v>63</v>
      </c>
      <c r="G38" t="s">
        <v>64</v>
      </c>
      <c r="H38">
        <v>2</v>
      </c>
      <c r="I38" t="s">
        <v>65</v>
      </c>
      <c r="J38">
        <v>2</v>
      </c>
      <c r="K38" t="s">
        <v>151</v>
      </c>
      <c r="L38" t="s">
        <v>67</v>
      </c>
      <c r="M38" s="1">
        <f t="shared" si="0"/>
        <v>6</v>
      </c>
      <c r="N38" t="str" cm="1">
        <f t="array" ref="N38">_xlfn.SWITCH(M38,12,"Fix now",11,"Fix now",10,"Fix now",9,"Fix now",8,"Plan",7,"Plan",6,"Plan",5,"Plan",4,"Accept",3,"Accept",2,"Accept",1,"Accept",0,"Accept")</f>
        <v>Plan</v>
      </c>
    </row>
    <row r="39" spans="1:14" x14ac:dyDescent="0.3">
      <c r="A39" t="s">
        <v>132</v>
      </c>
      <c r="B39" t="s">
        <v>133</v>
      </c>
      <c r="C39" t="s">
        <v>149</v>
      </c>
      <c r="D39" t="s">
        <v>119</v>
      </c>
      <c r="E39" t="s">
        <v>136</v>
      </c>
      <c r="F39" t="s">
        <v>63</v>
      </c>
      <c r="G39" t="s">
        <v>64</v>
      </c>
      <c r="H39">
        <v>2</v>
      </c>
      <c r="I39" t="s">
        <v>65</v>
      </c>
      <c r="J39">
        <v>3</v>
      </c>
      <c r="K39" t="s">
        <v>152</v>
      </c>
      <c r="L39" t="s">
        <v>68</v>
      </c>
      <c r="M39" s="1">
        <f t="shared" si="0"/>
        <v>4</v>
      </c>
      <c r="N39" t="str" cm="1">
        <f t="array" ref="N39">_xlfn.SWITCH(M39,12,"Fix now",11,"Fix now",10,"Fix now",9,"Fix now",8,"Plan",7,"Plan",6,"Plan",5,"Plan",4,"Accept",3,"Accept",2,"Accept",1,"Accept",0,"Accept")</f>
        <v>Accept</v>
      </c>
    </row>
    <row r="40" spans="1:14" x14ac:dyDescent="0.3">
      <c r="A40" t="s">
        <v>132</v>
      </c>
      <c r="B40" t="s">
        <v>133</v>
      </c>
      <c r="C40" t="s">
        <v>149</v>
      </c>
      <c r="D40" t="s">
        <v>119</v>
      </c>
      <c r="E40" t="s">
        <v>136</v>
      </c>
      <c r="F40" t="s">
        <v>63</v>
      </c>
      <c r="G40" t="s">
        <v>64</v>
      </c>
      <c r="H40">
        <v>2</v>
      </c>
      <c r="I40" t="s">
        <v>65</v>
      </c>
      <c r="J40">
        <v>4</v>
      </c>
      <c r="K40" t="s">
        <v>153</v>
      </c>
      <c r="L40" t="s">
        <v>69</v>
      </c>
      <c r="M40" s="1">
        <f t="shared" si="0"/>
        <v>2</v>
      </c>
      <c r="N40" t="str" cm="1">
        <f t="array" ref="N40">_xlfn.SWITCH(M40,12,"Fix now",11,"Fix now",10,"Fix now",9,"Fix now",8,"Plan",7,"Plan",6,"Plan",5,"Plan",4,"Accept",3,"Accept",2,"Accept",1,"Accept",0,"Accept")</f>
        <v>Accept</v>
      </c>
    </row>
    <row r="41" spans="1:14" x14ac:dyDescent="0.3">
      <c r="A41" t="s">
        <v>132</v>
      </c>
      <c r="B41" t="s">
        <v>133</v>
      </c>
      <c r="C41" t="s">
        <v>149</v>
      </c>
      <c r="D41" t="s">
        <v>119</v>
      </c>
      <c r="E41" t="s">
        <v>136</v>
      </c>
      <c r="F41" t="s">
        <v>63</v>
      </c>
      <c r="G41" t="s">
        <v>64</v>
      </c>
      <c r="H41">
        <v>2</v>
      </c>
      <c r="I41" t="s">
        <v>65</v>
      </c>
      <c r="J41">
        <v>5</v>
      </c>
      <c r="K41" t="s">
        <v>154</v>
      </c>
      <c r="L41" t="s">
        <v>70</v>
      </c>
      <c r="M41" s="1">
        <f t="shared" si="0"/>
        <v>0</v>
      </c>
      <c r="N41" t="str" cm="1">
        <f t="array" ref="N41">_xlfn.SWITCH(M41,12,"Fix now",11,"Fix now",10,"Fix now",9,"Fix now",8,"Plan",7,"Plan",6,"Plan",5,"Plan",4,"Accept",3,"Accept",2,"Accept",1,"Accept",0,"Accept")</f>
        <v>Accept</v>
      </c>
    </row>
    <row r="42" spans="1:14" x14ac:dyDescent="0.3">
      <c r="A42" t="s">
        <v>132</v>
      </c>
      <c r="B42" t="s">
        <v>133</v>
      </c>
      <c r="C42" t="s">
        <v>155</v>
      </c>
      <c r="D42" t="s">
        <v>156</v>
      </c>
      <c r="E42" t="s">
        <v>136</v>
      </c>
      <c r="F42" t="s">
        <v>71</v>
      </c>
      <c r="G42" t="s">
        <v>72</v>
      </c>
      <c r="H42">
        <v>2</v>
      </c>
      <c r="I42" t="s">
        <v>73</v>
      </c>
      <c r="J42">
        <v>1</v>
      </c>
      <c r="K42" t="s">
        <v>157</v>
      </c>
      <c r="L42" t="s">
        <v>74</v>
      </c>
      <c r="M42" s="1">
        <f t="shared" si="0"/>
        <v>8</v>
      </c>
      <c r="N42" t="str" cm="1">
        <f t="array" ref="N42">_xlfn.SWITCH(M42,12,"Fix now",11,"Fix now",10,"Fix now",9,"Fix now",8,"Plan",7,"Plan",6,"Plan",5,"Plan",4,"Accept",3,"Accept",2,"Accept",1,"Accept",0,"Accept")</f>
        <v>Plan</v>
      </c>
    </row>
    <row r="43" spans="1:14" x14ac:dyDescent="0.3">
      <c r="A43" t="s">
        <v>132</v>
      </c>
      <c r="B43" t="s">
        <v>133</v>
      </c>
      <c r="C43" t="s">
        <v>155</v>
      </c>
      <c r="D43" t="s">
        <v>156</v>
      </c>
      <c r="E43" t="s">
        <v>136</v>
      </c>
      <c r="F43" t="s">
        <v>71</v>
      </c>
      <c r="G43" t="s">
        <v>72</v>
      </c>
      <c r="H43">
        <v>2</v>
      </c>
      <c r="I43" t="s">
        <v>73</v>
      </c>
      <c r="J43">
        <v>2</v>
      </c>
      <c r="K43" t="s">
        <v>158</v>
      </c>
      <c r="L43" t="s">
        <v>75</v>
      </c>
      <c r="M43" s="1">
        <f t="shared" si="0"/>
        <v>6</v>
      </c>
      <c r="N43" t="str" cm="1">
        <f t="array" ref="N43">_xlfn.SWITCH(M43,12,"Fix now",11,"Fix now",10,"Fix now",9,"Fix now",8,"Plan",7,"Plan",6,"Plan",5,"Plan",4,"Accept",3,"Accept",2,"Accept",1,"Accept",0,"Accept")</f>
        <v>Plan</v>
      </c>
    </row>
    <row r="44" spans="1:14" x14ac:dyDescent="0.3">
      <c r="A44" t="s">
        <v>132</v>
      </c>
      <c r="B44" t="s">
        <v>133</v>
      </c>
      <c r="C44" t="s">
        <v>155</v>
      </c>
      <c r="D44" t="s">
        <v>156</v>
      </c>
      <c r="E44" t="s">
        <v>136</v>
      </c>
      <c r="F44" t="s">
        <v>71</v>
      </c>
      <c r="G44" t="s">
        <v>72</v>
      </c>
      <c r="H44">
        <v>2</v>
      </c>
      <c r="I44" t="s">
        <v>73</v>
      </c>
      <c r="J44">
        <v>3</v>
      </c>
      <c r="K44" t="s">
        <v>159</v>
      </c>
      <c r="L44" t="s">
        <v>76</v>
      </c>
      <c r="M44" s="1">
        <f t="shared" si="0"/>
        <v>4</v>
      </c>
      <c r="N44" t="str" cm="1">
        <f t="array" ref="N44">_xlfn.SWITCH(M44,12,"Fix now",11,"Fix now",10,"Fix now",9,"Fix now",8,"Plan",7,"Plan",6,"Plan",5,"Plan",4,"Accept",3,"Accept",2,"Accept",1,"Accept",0,"Accept")</f>
        <v>Accept</v>
      </c>
    </row>
    <row r="45" spans="1:14" x14ac:dyDescent="0.3">
      <c r="A45" t="s">
        <v>132</v>
      </c>
      <c r="B45" t="s">
        <v>133</v>
      </c>
      <c r="C45" t="s">
        <v>155</v>
      </c>
      <c r="D45" t="s">
        <v>156</v>
      </c>
      <c r="E45" t="s">
        <v>136</v>
      </c>
      <c r="F45" t="s">
        <v>71</v>
      </c>
      <c r="G45" t="s">
        <v>72</v>
      </c>
      <c r="H45">
        <v>2</v>
      </c>
      <c r="I45" t="s">
        <v>73</v>
      </c>
      <c r="J45">
        <v>4</v>
      </c>
      <c r="K45" t="s">
        <v>160</v>
      </c>
      <c r="L45" t="s">
        <v>77</v>
      </c>
      <c r="M45" s="1">
        <f t="shared" si="0"/>
        <v>2</v>
      </c>
      <c r="N45" t="str" cm="1">
        <f t="array" ref="N45">_xlfn.SWITCH(M45,12,"Fix now",11,"Fix now",10,"Fix now",9,"Fix now",8,"Plan",7,"Plan",6,"Plan",5,"Plan",4,"Accept",3,"Accept",2,"Accept",1,"Accept",0,"Accept")</f>
        <v>Accept</v>
      </c>
    </row>
    <row r="46" spans="1:14" x14ac:dyDescent="0.3">
      <c r="A46" t="s">
        <v>132</v>
      </c>
      <c r="B46" t="s">
        <v>133</v>
      </c>
      <c r="C46" t="s">
        <v>155</v>
      </c>
      <c r="D46" t="s">
        <v>156</v>
      </c>
      <c r="E46" t="s">
        <v>136</v>
      </c>
      <c r="F46" t="s">
        <v>71</v>
      </c>
      <c r="G46" t="s">
        <v>72</v>
      </c>
      <c r="H46">
        <v>2</v>
      </c>
      <c r="I46" t="s">
        <v>73</v>
      </c>
      <c r="J46">
        <v>5</v>
      </c>
      <c r="K46" t="s">
        <v>161</v>
      </c>
      <c r="L46" t="s">
        <v>78</v>
      </c>
      <c r="M46" s="1">
        <f t="shared" si="0"/>
        <v>0</v>
      </c>
      <c r="N46" t="str" cm="1">
        <f t="array" ref="N46">_xlfn.SWITCH(M46,12,"Fix now",11,"Fix now",10,"Fix now",9,"Fix now",8,"Plan",7,"Plan",6,"Plan",5,"Plan",4,"Accept",3,"Accept",2,"Accept",1,"Accept",0,"Accept")</f>
        <v>Accept</v>
      </c>
    </row>
    <row r="47" spans="1:14" x14ac:dyDescent="0.3">
      <c r="A47" t="s">
        <v>132</v>
      </c>
      <c r="B47" t="s">
        <v>133</v>
      </c>
      <c r="C47" t="s">
        <v>162</v>
      </c>
      <c r="D47" t="s">
        <v>163</v>
      </c>
      <c r="E47" t="s">
        <v>136</v>
      </c>
      <c r="F47" t="s">
        <v>79</v>
      </c>
      <c r="G47" t="s">
        <v>80</v>
      </c>
      <c r="H47">
        <v>3</v>
      </c>
      <c r="I47" t="s">
        <v>81</v>
      </c>
      <c r="J47">
        <v>1</v>
      </c>
      <c r="K47" t="s">
        <v>164</v>
      </c>
      <c r="L47" t="s">
        <v>82</v>
      </c>
      <c r="M47" s="1">
        <f t="shared" si="0"/>
        <v>12</v>
      </c>
      <c r="N47" t="str" cm="1">
        <f t="array" ref="N47">_xlfn.SWITCH(M47,12,"Fix now",11,"Fix now",10,"Fix now",9,"Fix now",8,"Plan",7,"Plan",6,"Plan",5,"Plan",4,"Accept",3,"Accept",2,"Accept",1,"Accept",0,"Accept")</f>
        <v>Fix now</v>
      </c>
    </row>
    <row r="48" spans="1:14" x14ac:dyDescent="0.3">
      <c r="A48" t="s">
        <v>132</v>
      </c>
      <c r="B48" t="s">
        <v>133</v>
      </c>
      <c r="C48" t="s">
        <v>162</v>
      </c>
      <c r="D48" t="s">
        <v>163</v>
      </c>
      <c r="E48" t="s">
        <v>136</v>
      </c>
      <c r="F48" t="s">
        <v>79</v>
      </c>
      <c r="G48" t="s">
        <v>80</v>
      </c>
      <c r="H48">
        <v>3</v>
      </c>
      <c r="I48" t="s">
        <v>81</v>
      </c>
      <c r="J48">
        <v>2</v>
      </c>
      <c r="K48" t="s">
        <v>165</v>
      </c>
      <c r="L48" t="s">
        <v>83</v>
      </c>
      <c r="M48" s="1">
        <f t="shared" si="0"/>
        <v>9</v>
      </c>
      <c r="N48" t="str" cm="1">
        <f t="array" ref="N48">_xlfn.SWITCH(M48,12,"Fix now",11,"Fix now",10,"Fix now",9,"Fix now",8,"Plan",7,"Plan",6,"Plan",5,"Plan",4,"Accept",3,"Accept",2,"Accept",1,"Accept",0,"Accept")</f>
        <v>Fix now</v>
      </c>
    </row>
    <row r="49" spans="1:14" x14ac:dyDescent="0.3">
      <c r="A49" t="s">
        <v>132</v>
      </c>
      <c r="B49" t="s">
        <v>133</v>
      </c>
      <c r="C49" t="s">
        <v>162</v>
      </c>
      <c r="D49" t="s">
        <v>163</v>
      </c>
      <c r="E49" t="s">
        <v>136</v>
      </c>
      <c r="F49" t="s">
        <v>79</v>
      </c>
      <c r="G49" t="s">
        <v>80</v>
      </c>
      <c r="H49">
        <v>3</v>
      </c>
      <c r="I49" t="s">
        <v>81</v>
      </c>
      <c r="J49">
        <v>3</v>
      </c>
      <c r="K49" t="s">
        <v>166</v>
      </c>
      <c r="L49" t="s">
        <v>84</v>
      </c>
      <c r="M49" s="1">
        <f t="shared" si="0"/>
        <v>6</v>
      </c>
      <c r="N49" t="str" cm="1">
        <f t="array" ref="N49">_xlfn.SWITCH(M49,12,"Fix now",11,"Fix now",10,"Fix now",9,"Fix now",8,"Plan",7,"Plan",6,"Plan",5,"Plan",4,"Accept",3,"Accept",2,"Accept",1,"Accept",0,"Accept")</f>
        <v>Plan</v>
      </c>
    </row>
    <row r="50" spans="1:14" x14ac:dyDescent="0.3">
      <c r="A50" t="s">
        <v>132</v>
      </c>
      <c r="B50" t="s">
        <v>133</v>
      </c>
      <c r="C50" t="s">
        <v>162</v>
      </c>
      <c r="D50" t="s">
        <v>163</v>
      </c>
      <c r="E50" t="s">
        <v>136</v>
      </c>
      <c r="F50" t="s">
        <v>79</v>
      </c>
      <c r="G50" t="s">
        <v>80</v>
      </c>
      <c r="H50">
        <v>3</v>
      </c>
      <c r="I50" t="s">
        <v>81</v>
      </c>
      <c r="J50">
        <v>4</v>
      </c>
      <c r="K50" t="s">
        <v>167</v>
      </c>
      <c r="L50" t="s">
        <v>85</v>
      </c>
      <c r="M50" s="1">
        <f t="shared" si="0"/>
        <v>3</v>
      </c>
      <c r="N50" t="str" cm="1">
        <f t="array" ref="N50">_xlfn.SWITCH(M50,12,"Fix now",11,"Fix now",10,"Fix now",9,"Fix now",8,"Plan",7,"Plan",6,"Plan",5,"Plan",4,"Accept",3,"Accept",2,"Accept",1,"Accept",0,"Accept")</f>
        <v>Accept</v>
      </c>
    </row>
    <row r="51" spans="1:14" x14ac:dyDescent="0.3">
      <c r="A51" t="s">
        <v>132</v>
      </c>
      <c r="B51" t="s">
        <v>133</v>
      </c>
      <c r="C51" t="s">
        <v>162</v>
      </c>
      <c r="D51" t="s">
        <v>163</v>
      </c>
      <c r="E51" t="s">
        <v>136</v>
      </c>
      <c r="F51" t="s">
        <v>79</v>
      </c>
      <c r="G51" t="s">
        <v>80</v>
      </c>
      <c r="H51">
        <v>3</v>
      </c>
      <c r="I51" t="s">
        <v>81</v>
      </c>
      <c r="J51">
        <v>5</v>
      </c>
      <c r="K51" t="s">
        <v>168</v>
      </c>
      <c r="L51" t="s">
        <v>86</v>
      </c>
      <c r="M51" s="1">
        <f t="shared" si="0"/>
        <v>0</v>
      </c>
      <c r="N51" t="str" cm="1">
        <f t="array" ref="N51">_xlfn.SWITCH(M51,12,"Fix now",11,"Fix now",10,"Fix now",9,"Fix now",8,"Plan",7,"Plan",6,"Plan",5,"Plan",4,"Accept",3,"Accept",2,"Accept",1,"Accept",0,"Accept")</f>
        <v>Accept</v>
      </c>
    </row>
    <row r="52" spans="1:14" x14ac:dyDescent="0.3">
      <c r="A52" t="s">
        <v>169</v>
      </c>
      <c r="B52" t="s">
        <v>170</v>
      </c>
      <c r="C52" t="s">
        <v>171</v>
      </c>
      <c r="D52" t="s">
        <v>172</v>
      </c>
      <c r="E52" t="s">
        <v>173</v>
      </c>
      <c r="F52" t="s">
        <v>174</v>
      </c>
      <c r="G52" t="s">
        <v>175</v>
      </c>
      <c r="H52">
        <v>3</v>
      </c>
      <c r="I52" t="s">
        <v>176</v>
      </c>
      <c r="J52">
        <v>1</v>
      </c>
      <c r="K52" t="s">
        <v>177</v>
      </c>
      <c r="L52" t="s">
        <v>178</v>
      </c>
      <c r="M52" s="1">
        <f t="shared" si="0"/>
        <v>12</v>
      </c>
      <c r="N52" t="str" cm="1">
        <f t="array" ref="N52">_xlfn.SWITCH(M52,12,"Fix now",11,"Fix now",10,"Fix now",9,"Fix now",8,"Plan",7,"Plan",6,"Plan",5,"Plan",4,"Accept",3,"Accept",2,"Accept",1,"Accept",0,"Accept")</f>
        <v>Fix now</v>
      </c>
    </row>
    <row r="53" spans="1:14" x14ac:dyDescent="0.3">
      <c r="A53" t="s">
        <v>169</v>
      </c>
      <c r="B53" t="s">
        <v>170</v>
      </c>
      <c r="C53" t="s">
        <v>171</v>
      </c>
      <c r="D53" t="s">
        <v>172</v>
      </c>
      <c r="E53" t="s">
        <v>173</v>
      </c>
      <c r="F53" t="s">
        <v>174</v>
      </c>
      <c r="G53" t="s">
        <v>175</v>
      </c>
      <c r="H53">
        <v>3</v>
      </c>
      <c r="I53" t="s">
        <v>176</v>
      </c>
      <c r="J53">
        <v>2</v>
      </c>
      <c r="K53" t="s">
        <v>179</v>
      </c>
      <c r="L53" t="s">
        <v>180</v>
      </c>
      <c r="M53" s="1">
        <f t="shared" si="0"/>
        <v>9</v>
      </c>
      <c r="N53" t="str" cm="1">
        <f t="array" ref="N53">_xlfn.SWITCH(M53,12,"Fix now",11,"Fix now",10,"Fix now",9,"Fix now",8,"Plan",7,"Plan",6,"Plan",5,"Plan",4,"Accept",3,"Accept",2,"Accept",1,"Accept",0,"Accept")</f>
        <v>Fix now</v>
      </c>
    </row>
    <row r="54" spans="1:14" x14ac:dyDescent="0.3">
      <c r="A54" t="s">
        <v>169</v>
      </c>
      <c r="B54" t="s">
        <v>170</v>
      </c>
      <c r="C54" t="s">
        <v>171</v>
      </c>
      <c r="D54" t="s">
        <v>172</v>
      </c>
      <c r="E54" t="s">
        <v>173</v>
      </c>
      <c r="F54" t="s">
        <v>174</v>
      </c>
      <c r="G54" t="s">
        <v>175</v>
      </c>
      <c r="H54">
        <v>3</v>
      </c>
      <c r="I54" t="s">
        <v>176</v>
      </c>
      <c r="J54">
        <v>3</v>
      </c>
      <c r="K54" t="s">
        <v>181</v>
      </c>
      <c r="L54" t="s">
        <v>182</v>
      </c>
      <c r="M54" s="1">
        <f t="shared" si="0"/>
        <v>6</v>
      </c>
      <c r="N54" t="str" cm="1">
        <f t="array" ref="N54">_xlfn.SWITCH(M54,12,"Fix now",11,"Fix now",10,"Fix now",9,"Fix now",8,"Plan",7,"Plan",6,"Plan",5,"Plan",4,"Accept",3,"Accept",2,"Accept",1,"Accept",0,"Accept")</f>
        <v>Plan</v>
      </c>
    </row>
    <row r="55" spans="1:14" x14ac:dyDescent="0.3">
      <c r="A55" t="s">
        <v>169</v>
      </c>
      <c r="B55" t="s">
        <v>170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>
        <v>3</v>
      </c>
      <c r="I55" t="s">
        <v>176</v>
      </c>
      <c r="J55">
        <v>4</v>
      </c>
      <c r="K55" t="s">
        <v>183</v>
      </c>
      <c r="L55" t="s">
        <v>184</v>
      </c>
      <c r="M55" s="1">
        <f t="shared" si="0"/>
        <v>3</v>
      </c>
      <c r="N55" t="str" cm="1">
        <f t="array" ref="N55">_xlfn.SWITCH(M55,12,"Fix now",11,"Fix now",10,"Fix now",9,"Fix now",8,"Plan",7,"Plan",6,"Plan",5,"Plan",4,"Accept",3,"Accept",2,"Accept",1,"Accept",0,"Accept")</f>
        <v>Accept</v>
      </c>
    </row>
    <row r="56" spans="1:14" x14ac:dyDescent="0.3">
      <c r="A56" t="s">
        <v>169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175</v>
      </c>
      <c r="H56">
        <v>3</v>
      </c>
      <c r="I56" t="s">
        <v>176</v>
      </c>
      <c r="J56">
        <v>5</v>
      </c>
      <c r="K56" t="s">
        <v>185</v>
      </c>
      <c r="L56" t="s">
        <v>186</v>
      </c>
      <c r="M56" s="1">
        <f t="shared" si="0"/>
        <v>0</v>
      </c>
      <c r="N56" t="str" cm="1">
        <f t="array" ref="N56">_xlfn.SWITCH(M56,12,"Fix now",11,"Fix now",10,"Fix now",9,"Fix now",8,"Plan",7,"Plan",6,"Plan",5,"Plan",4,"Accept",3,"Accept",2,"Accept",1,"Accept",0,"Accept")</f>
        <v>Accept</v>
      </c>
    </row>
    <row r="57" spans="1:14" x14ac:dyDescent="0.3">
      <c r="A57" t="s">
        <v>169</v>
      </c>
      <c r="B57" t="s">
        <v>170</v>
      </c>
      <c r="C57" t="s">
        <v>187</v>
      </c>
      <c r="D57" t="s">
        <v>188</v>
      </c>
      <c r="E57" t="s">
        <v>173</v>
      </c>
      <c r="F57" t="s">
        <v>189</v>
      </c>
      <c r="G57" t="s">
        <v>190</v>
      </c>
      <c r="H57">
        <v>3</v>
      </c>
      <c r="I57" t="s">
        <v>191</v>
      </c>
      <c r="J57">
        <v>1</v>
      </c>
      <c r="K57" t="s">
        <v>192</v>
      </c>
      <c r="L57" t="s">
        <v>193</v>
      </c>
      <c r="M57" s="1">
        <f t="shared" si="0"/>
        <v>12</v>
      </c>
      <c r="N57" t="str" cm="1">
        <f t="array" ref="N57">_xlfn.SWITCH(M57,12,"Fix now",11,"Fix now",10,"Fix now",9,"Fix now",8,"Plan",7,"Plan",6,"Plan",5,"Plan",4,"Accept",3,"Accept",2,"Accept",1,"Accept",0,"Accept")</f>
        <v>Fix now</v>
      </c>
    </row>
    <row r="58" spans="1:14" x14ac:dyDescent="0.3">
      <c r="A58" t="s">
        <v>169</v>
      </c>
      <c r="B58" t="s">
        <v>170</v>
      </c>
      <c r="C58" t="s">
        <v>187</v>
      </c>
      <c r="D58" t="s">
        <v>188</v>
      </c>
      <c r="E58" t="s">
        <v>173</v>
      </c>
      <c r="F58" t="s">
        <v>189</v>
      </c>
      <c r="G58" t="s">
        <v>190</v>
      </c>
      <c r="H58">
        <v>3</v>
      </c>
      <c r="I58" t="s">
        <v>191</v>
      </c>
      <c r="J58">
        <v>2</v>
      </c>
      <c r="K58" t="s">
        <v>194</v>
      </c>
      <c r="L58" t="s">
        <v>195</v>
      </c>
      <c r="M58" s="1">
        <f t="shared" si="0"/>
        <v>9</v>
      </c>
      <c r="N58" t="str" cm="1">
        <f t="array" ref="N58">_xlfn.SWITCH(M58,12,"Fix now",11,"Fix now",10,"Fix now",9,"Fix now",8,"Plan",7,"Plan",6,"Plan",5,"Plan",4,"Accept",3,"Accept",2,"Accept",1,"Accept",0,"Accept")</f>
        <v>Fix now</v>
      </c>
    </row>
    <row r="59" spans="1:14" x14ac:dyDescent="0.3">
      <c r="A59" t="s">
        <v>169</v>
      </c>
      <c r="B59" t="s">
        <v>170</v>
      </c>
      <c r="C59" t="s">
        <v>187</v>
      </c>
      <c r="D59" t="s">
        <v>188</v>
      </c>
      <c r="E59" t="s">
        <v>173</v>
      </c>
      <c r="F59" t="s">
        <v>189</v>
      </c>
      <c r="G59" t="s">
        <v>190</v>
      </c>
      <c r="H59">
        <v>3</v>
      </c>
      <c r="I59" t="s">
        <v>191</v>
      </c>
      <c r="J59">
        <v>3</v>
      </c>
      <c r="K59" t="s">
        <v>196</v>
      </c>
      <c r="L59" t="s">
        <v>197</v>
      </c>
      <c r="M59" s="1">
        <f t="shared" si="0"/>
        <v>6</v>
      </c>
      <c r="N59" t="str" cm="1">
        <f t="array" ref="N59">_xlfn.SWITCH(M59,12,"Fix now",11,"Fix now",10,"Fix now",9,"Fix now",8,"Plan",7,"Plan",6,"Plan",5,"Plan",4,"Accept",3,"Accept",2,"Accept",1,"Accept",0,"Accept")</f>
        <v>Plan</v>
      </c>
    </row>
    <row r="60" spans="1:14" x14ac:dyDescent="0.3">
      <c r="A60" t="s">
        <v>169</v>
      </c>
      <c r="B60" t="s">
        <v>170</v>
      </c>
      <c r="C60" t="s">
        <v>187</v>
      </c>
      <c r="D60" t="s">
        <v>188</v>
      </c>
      <c r="E60" t="s">
        <v>173</v>
      </c>
      <c r="F60" t="s">
        <v>189</v>
      </c>
      <c r="G60" t="s">
        <v>190</v>
      </c>
      <c r="H60">
        <v>3</v>
      </c>
      <c r="I60" t="s">
        <v>191</v>
      </c>
      <c r="J60">
        <v>4</v>
      </c>
      <c r="K60" t="s">
        <v>198</v>
      </c>
      <c r="L60" t="s">
        <v>199</v>
      </c>
      <c r="M60" s="1">
        <f t="shared" si="0"/>
        <v>3</v>
      </c>
      <c r="N60" t="str" cm="1">
        <f t="array" ref="N60">_xlfn.SWITCH(M60,12,"Fix now",11,"Fix now",10,"Fix now",9,"Fix now",8,"Plan",7,"Plan",6,"Plan",5,"Plan",4,"Accept",3,"Accept",2,"Accept",1,"Accept",0,"Accept")</f>
        <v>Accept</v>
      </c>
    </row>
    <row r="61" spans="1:14" x14ac:dyDescent="0.3">
      <c r="A61" t="s">
        <v>169</v>
      </c>
      <c r="B61" t="s">
        <v>170</v>
      </c>
      <c r="C61" t="s">
        <v>187</v>
      </c>
      <c r="D61" t="s">
        <v>188</v>
      </c>
      <c r="E61" t="s">
        <v>173</v>
      </c>
      <c r="F61" t="s">
        <v>189</v>
      </c>
      <c r="G61" t="s">
        <v>190</v>
      </c>
      <c r="H61">
        <v>3</v>
      </c>
      <c r="I61" t="s">
        <v>191</v>
      </c>
      <c r="J61">
        <v>5</v>
      </c>
      <c r="K61" t="s">
        <v>200</v>
      </c>
      <c r="L61" t="s">
        <v>201</v>
      </c>
      <c r="M61" s="1">
        <f t="shared" si="0"/>
        <v>0</v>
      </c>
      <c r="N61" t="str" cm="1">
        <f t="array" ref="N61">_xlfn.SWITCH(M61,12,"Fix now",11,"Fix now",10,"Fix now",9,"Fix now",8,"Plan",7,"Plan",6,"Plan",5,"Plan",4,"Accept",3,"Accept",2,"Accept",1,"Accept",0,"Accept")</f>
        <v>Accept</v>
      </c>
    </row>
    <row r="62" spans="1:14" x14ac:dyDescent="0.3">
      <c r="A62" t="s">
        <v>169</v>
      </c>
      <c r="B62" t="s">
        <v>170</v>
      </c>
      <c r="C62" t="s">
        <v>202</v>
      </c>
      <c r="D62" t="s">
        <v>203</v>
      </c>
      <c r="E62" t="s">
        <v>173</v>
      </c>
      <c r="F62" t="s">
        <v>204</v>
      </c>
      <c r="G62" t="s">
        <v>205</v>
      </c>
      <c r="H62">
        <v>2</v>
      </c>
      <c r="I62" t="s">
        <v>206</v>
      </c>
      <c r="J62">
        <v>1</v>
      </c>
      <c r="K62" t="s">
        <v>207</v>
      </c>
      <c r="L62" t="s">
        <v>208</v>
      </c>
      <c r="M62" s="1">
        <f t="shared" si="0"/>
        <v>8</v>
      </c>
      <c r="N62" t="str" cm="1">
        <f t="array" ref="N62">_xlfn.SWITCH(M62,12,"Fix now",11,"Fix now",10,"Fix now",9,"Fix now",8,"Plan",7,"Plan",6,"Plan",5,"Plan",4,"Accept",3,"Accept",2,"Accept",1,"Accept",0,"Accept")</f>
        <v>Plan</v>
      </c>
    </row>
    <row r="63" spans="1:14" x14ac:dyDescent="0.3">
      <c r="A63" t="s">
        <v>169</v>
      </c>
      <c r="B63" t="s">
        <v>170</v>
      </c>
      <c r="C63" t="s">
        <v>202</v>
      </c>
      <c r="D63" t="s">
        <v>203</v>
      </c>
      <c r="E63" t="s">
        <v>173</v>
      </c>
      <c r="F63" t="s">
        <v>204</v>
      </c>
      <c r="G63" t="s">
        <v>205</v>
      </c>
      <c r="H63">
        <v>2</v>
      </c>
      <c r="I63" t="s">
        <v>206</v>
      </c>
      <c r="J63">
        <v>2</v>
      </c>
      <c r="K63" t="s">
        <v>209</v>
      </c>
      <c r="L63" t="s">
        <v>210</v>
      </c>
      <c r="M63" s="1">
        <f t="shared" si="0"/>
        <v>6</v>
      </c>
      <c r="N63" t="str" cm="1">
        <f t="array" ref="N63">_xlfn.SWITCH(M63,12,"Fix now",11,"Fix now",10,"Fix now",9,"Fix now",8,"Plan",7,"Plan",6,"Plan",5,"Plan",4,"Accept",3,"Accept",2,"Accept",1,"Accept",0,"Accept")</f>
        <v>Plan</v>
      </c>
    </row>
    <row r="64" spans="1:14" x14ac:dyDescent="0.3">
      <c r="A64" t="s">
        <v>169</v>
      </c>
      <c r="B64" t="s">
        <v>170</v>
      </c>
      <c r="C64" t="s">
        <v>202</v>
      </c>
      <c r="D64" t="s">
        <v>203</v>
      </c>
      <c r="E64" t="s">
        <v>173</v>
      </c>
      <c r="F64" t="s">
        <v>204</v>
      </c>
      <c r="G64" t="s">
        <v>205</v>
      </c>
      <c r="H64">
        <v>2</v>
      </c>
      <c r="I64" t="s">
        <v>206</v>
      </c>
      <c r="J64">
        <v>3</v>
      </c>
      <c r="K64" t="s">
        <v>211</v>
      </c>
      <c r="L64" t="s">
        <v>212</v>
      </c>
      <c r="M64" s="1">
        <f t="shared" si="0"/>
        <v>4</v>
      </c>
      <c r="N64" t="str" cm="1">
        <f t="array" ref="N64">_xlfn.SWITCH(M64,12,"Fix now",11,"Fix now",10,"Fix now",9,"Fix now",8,"Plan",7,"Plan",6,"Plan",5,"Plan",4,"Accept",3,"Accept",2,"Accept",1,"Accept",0,"Accept")</f>
        <v>Accept</v>
      </c>
    </row>
    <row r="65" spans="1:14" x14ac:dyDescent="0.3">
      <c r="A65" t="s">
        <v>169</v>
      </c>
      <c r="B65" t="s">
        <v>170</v>
      </c>
      <c r="C65" t="s">
        <v>202</v>
      </c>
      <c r="D65" t="s">
        <v>203</v>
      </c>
      <c r="E65" t="s">
        <v>173</v>
      </c>
      <c r="F65" t="s">
        <v>204</v>
      </c>
      <c r="G65" t="s">
        <v>205</v>
      </c>
      <c r="H65">
        <v>2</v>
      </c>
      <c r="I65" t="s">
        <v>206</v>
      </c>
      <c r="J65">
        <v>4</v>
      </c>
      <c r="K65" t="s">
        <v>213</v>
      </c>
      <c r="L65" t="s">
        <v>214</v>
      </c>
      <c r="M65" s="1">
        <f t="shared" si="0"/>
        <v>2</v>
      </c>
      <c r="N65" t="str" cm="1">
        <f t="array" ref="N65">_xlfn.SWITCH(M65,12,"Fix now",11,"Fix now",10,"Fix now",9,"Fix now",8,"Plan",7,"Plan",6,"Plan",5,"Plan",4,"Accept",3,"Accept",2,"Accept",1,"Accept",0,"Accept")</f>
        <v>Accept</v>
      </c>
    </row>
    <row r="66" spans="1:14" x14ac:dyDescent="0.3">
      <c r="A66" t="s">
        <v>169</v>
      </c>
      <c r="B66" t="s">
        <v>170</v>
      </c>
      <c r="C66" t="s">
        <v>202</v>
      </c>
      <c r="D66" t="s">
        <v>203</v>
      </c>
      <c r="E66" t="s">
        <v>173</v>
      </c>
      <c r="F66" t="s">
        <v>204</v>
      </c>
      <c r="G66" t="s">
        <v>205</v>
      </c>
      <c r="H66">
        <v>2</v>
      </c>
      <c r="I66" t="s">
        <v>206</v>
      </c>
      <c r="J66">
        <v>5</v>
      </c>
      <c r="K66" t="s">
        <v>215</v>
      </c>
      <c r="L66" t="s">
        <v>216</v>
      </c>
      <c r="M66" s="1">
        <f t="shared" si="0"/>
        <v>0</v>
      </c>
      <c r="N66" t="str" cm="1">
        <f t="array" ref="N66">_xlfn.SWITCH(M66,12,"Fix now",11,"Fix now",10,"Fix now",9,"Fix now",8,"Plan",7,"Plan",6,"Plan",5,"Plan",4,"Accept",3,"Accept",2,"Accept",1,"Accept",0,"Accept")</f>
        <v>Accept</v>
      </c>
    </row>
    <row r="67" spans="1:14" x14ac:dyDescent="0.3">
      <c r="A67" t="s">
        <v>169</v>
      </c>
      <c r="B67" t="s">
        <v>170</v>
      </c>
      <c r="C67" t="s">
        <v>217</v>
      </c>
      <c r="D67" t="s">
        <v>218</v>
      </c>
      <c r="E67" t="s">
        <v>173</v>
      </c>
      <c r="F67" t="s">
        <v>219</v>
      </c>
      <c r="G67" t="s">
        <v>220</v>
      </c>
      <c r="H67">
        <v>2</v>
      </c>
      <c r="I67" t="s">
        <v>221</v>
      </c>
      <c r="J67">
        <v>1</v>
      </c>
      <c r="K67" t="s">
        <v>222</v>
      </c>
      <c r="L67" t="s">
        <v>223</v>
      </c>
      <c r="M67" s="1">
        <f t="shared" ref="M67:M130" si="1">(5-$J67)*H67</f>
        <v>8</v>
      </c>
      <c r="N67" t="str" cm="1">
        <f t="array" ref="N67">_xlfn.SWITCH(M67,12,"Fix now",11,"Fix now",10,"Fix now",9,"Fix now",8,"Plan",7,"Plan",6,"Plan",5,"Plan",4,"Accept",3,"Accept",2,"Accept",1,"Accept",0,"Accept")</f>
        <v>Plan</v>
      </c>
    </row>
    <row r="68" spans="1:14" x14ac:dyDescent="0.3">
      <c r="A68" t="s">
        <v>169</v>
      </c>
      <c r="B68" t="s">
        <v>170</v>
      </c>
      <c r="C68" t="s">
        <v>217</v>
      </c>
      <c r="D68" t="s">
        <v>218</v>
      </c>
      <c r="E68" t="s">
        <v>173</v>
      </c>
      <c r="F68" t="s">
        <v>219</v>
      </c>
      <c r="G68" t="s">
        <v>220</v>
      </c>
      <c r="H68">
        <v>2</v>
      </c>
      <c r="I68" t="s">
        <v>221</v>
      </c>
      <c r="J68">
        <v>2</v>
      </c>
      <c r="K68" t="s">
        <v>224</v>
      </c>
      <c r="L68" t="s">
        <v>225</v>
      </c>
      <c r="M68" s="1">
        <f t="shared" si="1"/>
        <v>6</v>
      </c>
      <c r="N68" t="str" cm="1">
        <f t="array" ref="N68">_xlfn.SWITCH(M68,12,"Fix now",11,"Fix now",10,"Fix now",9,"Fix now",8,"Plan",7,"Plan",6,"Plan",5,"Plan",4,"Accept",3,"Accept",2,"Accept",1,"Accept",0,"Accept")</f>
        <v>Plan</v>
      </c>
    </row>
    <row r="69" spans="1:14" x14ac:dyDescent="0.3">
      <c r="A69" t="s">
        <v>169</v>
      </c>
      <c r="B69" t="s">
        <v>170</v>
      </c>
      <c r="C69" t="s">
        <v>217</v>
      </c>
      <c r="D69" t="s">
        <v>218</v>
      </c>
      <c r="E69" t="s">
        <v>173</v>
      </c>
      <c r="F69" t="s">
        <v>219</v>
      </c>
      <c r="G69" t="s">
        <v>220</v>
      </c>
      <c r="H69">
        <v>2</v>
      </c>
      <c r="I69" t="s">
        <v>221</v>
      </c>
      <c r="J69">
        <v>3</v>
      </c>
      <c r="K69" t="s">
        <v>226</v>
      </c>
      <c r="L69" t="s">
        <v>227</v>
      </c>
      <c r="M69" s="1">
        <f t="shared" si="1"/>
        <v>4</v>
      </c>
      <c r="N69" t="str" cm="1">
        <f t="array" ref="N69">_xlfn.SWITCH(M69,12,"Fix now",11,"Fix now",10,"Fix now",9,"Fix now",8,"Plan",7,"Plan",6,"Plan",5,"Plan",4,"Accept",3,"Accept",2,"Accept",1,"Accept",0,"Accept")</f>
        <v>Accept</v>
      </c>
    </row>
    <row r="70" spans="1:14" x14ac:dyDescent="0.3">
      <c r="A70" t="s">
        <v>169</v>
      </c>
      <c r="B70" t="s">
        <v>170</v>
      </c>
      <c r="C70" t="s">
        <v>217</v>
      </c>
      <c r="D70" t="s">
        <v>218</v>
      </c>
      <c r="E70" t="s">
        <v>173</v>
      </c>
      <c r="F70" t="s">
        <v>219</v>
      </c>
      <c r="G70" t="s">
        <v>220</v>
      </c>
      <c r="H70">
        <v>2</v>
      </c>
      <c r="I70" t="s">
        <v>221</v>
      </c>
      <c r="J70">
        <v>4</v>
      </c>
      <c r="K70" t="s">
        <v>228</v>
      </c>
      <c r="L70" t="s">
        <v>229</v>
      </c>
      <c r="M70" s="1">
        <f t="shared" si="1"/>
        <v>2</v>
      </c>
      <c r="N70" t="str" cm="1">
        <f t="array" ref="N70">_xlfn.SWITCH(M70,12,"Fix now",11,"Fix now",10,"Fix now",9,"Fix now",8,"Plan",7,"Plan",6,"Plan",5,"Plan",4,"Accept",3,"Accept",2,"Accept",1,"Accept",0,"Accept")</f>
        <v>Accept</v>
      </c>
    </row>
    <row r="71" spans="1:14" x14ac:dyDescent="0.3">
      <c r="A71" t="s">
        <v>169</v>
      </c>
      <c r="B71" t="s">
        <v>170</v>
      </c>
      <c r="C71" t="s">
        <v>217</v>
      </c>
      <c r="D71" t="s">
        <v>218</v>
      </c>
      <c r="E71" t="s">
        <v>173</v>
      </c>
      <c r="F71" t="s">
        <v>219</v>
      </c>
      <c r="G71" t="s">
        <v>220</v>
      </c>
      <c r="H71">
        <v>2</v>
      </c>
      <c r="I71" t="s">
        <v>221</v>
      </c>
      <c r="J71">
        <v>5</v>
      </c>
      <c r="K71" t="s">
        <v>230</v>
      </c>
      <c r="L71" t="s">
        <v>231</v>
      </c>
      <c r="M71" s="1">
        <f t="shared" si="1"/>
        <v>0</v>
      </c>
      <c r="N71" t="str" cm="1">
        <f t="array" ref="N71">_xlfn.SWITCH(M71,12,"Fix now",11,"Fix now",10,"Fix now",9,"Fix now",8,"Plan",7,"Plan",6,"Plan",5,"Plan",4,"Accept",3,"Accept",2,"Accept",1,"Accept",0,"Accept")</f>
        <v>Accept</v>
      </c>
    </row>
    <row r="72" spans="1:14" x14ac:dyDescent="0.3">
      <c r="A72" t="s">
        <v>169</v>
      </c>
      <c r="B72" t="s">
        <v>170</v>
      </c>
      <c r="C72" t="s">
        <v>232</v>
      </c>
      <c r="D72" t="s">
        <v>233</v>
      </c>
      <c r="E72" t="s">
        <v>173</v>
      </c>
      <c r="F72" t="s">
        <v>234</v>
      </c>
      <c r="G72" t="s">
        <v>235</v>
      </c>
      <c r="H72">
        <v>2</v>
      </c>
      <c r="I72" t="s">
        <v>236</v>
      </c>
      <c r="J72">
        <v>1</v>
      </c>
      <c r="K72" t="s">
        <v>237</v>
      </c>
      <c r="L72" t="s">
        <v>238</v>
      </c>
      <c r="M72" s="1">
        <f t="shared" si="1"/>
        <v>8</v>
      </c>
      <c r="N72" t="str" cm="1">
        <f t="array" ref="N72">_xlfn.SWITCH(M72,12,"Fix now",11,"Fix now",10,"Fix now",9,"Fix now",8,"Plan",7,"Plan",6,"Plan",5,"Plan",4,"Accept",3,"Accept",2,"Accept",1,"Accept",0,"Accept")</f>
        <v>Plan</v>
      </c>
    </row>
    <row r="73" spans="1:14" x14ac:dyDescent="0.3">
      <c r="A73" t="s">
        <v>169</v>
      </c>
      <c r="B73" t="s">
        <v>170</v>
      </c>
      <c r="C73" t="s">
        <v>232</v>
      </c>
      <c r="D73" t="s">
        <v>233</v>
      </c>
      <c r="E73" t="s">
        <v>173</v>
      </c>
      <c r="F73" t="s">
        <v>234</v>
      </c>
      <c r="G73" t="s">
        <v>235</v>
      </c>
      <c r="H73">
        <v>2</v>
      </c>
      <c r="I73" t="s">
        <v>236</v>
      </c>
      <c r="J73">
        <v>2</v>
      </c>
      <c r="K73" t="s">
        <v>239</v>
      </c>
      <c r="L73" t="s">
        <v>240</v>
      </c>
      <c r="M73" s="1">
        <f t="shared" si="1"/>
        <v>6</v>
      </c>
      <c r="N73" t="str" cm="1">
        <f t="array" ref="N73">_xlfn.SWITCH(M73,12,"Fix now",11,"Fix now",10,"Fix now",9,"Fix now",8,"Plan",7,"Plan",6,"Plan",5,"Plan",4,"Accept",3,"Accept",2,"Accept",1,"Accept",0,"Accept")</f>
        <v>Plan</v>
      </c>
    </row>
    <row r="74" spans="1:14" x14ac:dyDescent="0.3">
      <c r="A74" t="s">
        <v>169</v>
      </c>
      <c r="B74" t="s">
        <v>170</v>
      </c>
      <c r="C74" t="s">
        <v>232</v>
      </c>
      <c r="D74" t="s">
        <v>233</v>
      </c>
      <c r="E74" t="s">
        <v>173</v>
      </c>
      <c r="F74" t="s">
        <v>234</v>
      </c>
      <c r="G74" t="s">
        <v>235</v>
      </c>
      <c r="H74">
        <v>2</v>
      </c>
      <c r="I74" t="s">
        <v>236</v>
      </c>
      <c r="J74">
        <v>3</v>
      </c>
      <c r="K74" t="s">
        <v>241</v>
      </c>
      <c r="L74" t="s">
        <v>242</v>
      </c>
      <c r="M74" s="1">
        <f t="shared" si="1"/>
        <v>4</v>
      </c>
      <c r="N74" t="str" cm="1">
        <f t="array" ref="N74">_xlfn.SWITCH(M74,12,"Fix now",11,"Fix now",10,"Fix now",9,"Fix now",8,"Plan",7,"Plan",6,"Plan",5,"Plan",4,"Accept",3,"Accept",2,"Accept",1,"Accept",0,"Accept")</f>
        <v>Accept</v>
      </c>
    </row>
    <row r="75" spans="1:14" x14ac:dyDescent="0.3">
      <c r="A75" t="s">
        <v>169</v>
      </c>
      <c r="B75" t="s">
        <v>170</v>
      </c>
      <c r="C75" t="s">
        <v>232</v>
      </c>
      <c r="D75" t="s">
        <v>233</v>
      </c>
      <c r="E75" t="s">
        <v>173</v>
      </c>
      <c r="F75" t="s">
        <v>234</v>
      </c>
      <c r="G75" t="s">
        <v>235</v>
      </c>
      <c r="H75">
        <v>2</v>
      </c>
      <c r="I75" t="s">
        <v>236</v>
      </c>
      <c r="J75">
        <v>4</v>
      </c>
      <c r="K75" t="s">
        <v>243</v>
      </c>
      <c r="L75" t="s">
        <v>244</v>
      </c>
      <c r="M75" s="1">
        <f t="shared" si="1"/>
        <v>2</v>
      </c>
      <c r="N75" t="str" cm="1">
        <f t="array" ref="N75">_xlfn.SWITCH(M75,12,"Fix now",11,"Fix now",10,"Fix now",9,"Fix now",8,"Plan",7,"Plan",6,"Plan",5,"Plan",4,"Accept",3,"Accept",2,"Accept",1,"Accept",0,"Accept")</f>
        <v>Accept</v>
      </c>
    </row>
    <row r="76" spans="1:14" x14ac:dyDescent="0.3">
      <c r="A76" t="s">
        <v>169</v>
      </c>
      <c r="B76" t="s">
        <v>170</v>
      </c>
      <c r="C76" t="s">
        <v>232</v>
      </c>
      <c r="D76" t="s">
        <v>233</v>
      </c>
      <c r="E76" t="s">
        <v>173</v>
      </c>
      <c r="F76" t="s">
        <v>234</v>
      </c>
      <c r="G76" t="s">
        <v>235</v>
      </c>
      <c r="H76">
        <v>2</v>
      </c>
      <c r="I76" t="s">
        <v>236</v>
      </c>
      <c r="J76">
        <v>5</v>
      </c>
      <c r="K76" t="s">
        <v>245</v>
      </c>
      <c r="L76" t="s">
        <v>246</v>
      </c>
      <c r="M76" s="1">
        <f t="shared" si="1"/>
        <v>0</v>
      </c>
      <c r="N76" t="str" cm="1">
        <f t="array" ref="N76">_xlfn.SWITCH(M76,12,"Fix now",11,"Fix now",10,"Fix now",9,"Fix now",8,"Plan",7,"Plan",6,"Plan",5,"Plan",4,"Accept",3,"Accept",2,"Accept",1,"Accept",0,"Accept")</f>
        <v>Accept</v>
      </c>
    </row>
    <row r="77" spans="1:14" x14ac:dyDescent="0.3">
      <c r="A77" t="s">
        <v>247</v>
      </c>
      <c r="B77" t="s">
        <v>248</v>
      </c>
      <c r="C77" t="s">
        <v>249</v>
      </c>
      <c r="D77" t="s">
        <v>250</v>
      </c>
      <c r="E77" t="s">
        <v>136</v>
      </c>
      <c r="F77" t="s">
        <v>251</v>
      </c>
      <c r="G77" t="s">
        <v>252</v>
      </c>
      <c r="H77">
        <v>2</v>
      </c>
      <c r="I77" t="s">
        <v>253</v>
      </c>
      <c r="J77">
        <v>1</v>
      </c>
      <c r="K77" t="s">
        <v>254</v>
      </c>
      <c r="L77" t="s">
        <v>255</v>
      </c>
      <c r="M77" s="1">
        <f t="shared" si="1"/>
        <v>8</v>
      </c>
      <c r="N77" t="str" cm="1">
        <f t="array" ref="N77">_xlfn.SWITCH(M77,12,"Fix now",11,"Fix now",10,"Fix now",9,"Fix now",8,"Plan",7,"Plan",6,"Plan",5,"Plan",4,"Accept",3,"Accept",2,"Accept",1,"Accept",0,"Accept")</f>
        <v>Plan</v>
      </c>
    </row>
    <row r="78" spans="1:14" x14ac:dyDescent="0.3">
      <c r="A78" t="s">
        <v>247</v>
      </c>
      <c r="B78" t="s">
        <v>248</v>
      </c>
      <c r="C78" t="s">
        <v>249</v>
      </c>
      <c r="D78" t="s">
        <v>250</v>
      </c>
      <c r="E78" t="s">
        <v>136</v>
      </c>
      <c r="F78" t="s">
        <v>251</v>
      </c>
      <c r="G78" t="s">
        <v>252</v>
      </c>
      <c r="H78">
        <v>2</v>
      </c>
      <c r="I78" t="s">
        <v>253</v>
      </c>
      <c r="J78">
        <v>2</v>
      </c>
      <c r="K78" t="s">
        <v>256</v>
      </c>
      <c r="L78" t="s">
        <v>257</v>
      </c>
      <c r="M78" s="1">
        <f t="shared" si="1"/>
        <v>6</v>
      </c>
      <c r="N78" t="str" cm="1">
        <f t="array" ref="N78">_xlfn.SWITCH(M78,12,"Fix now",11,"Fix now",10,"Fix now",9,"Fix now",8,"Plan",7,"Plan",6,"Plan",5,"Plan",4,"Accept",3,"Accept",2,"Accept",1,"Accept",0,"Accept")</f>
        <v>Plan</v>
      </c>
    </row>
    <row r="79" spans="1:14" x14ac:dyDescent="0.3">
      <c r="A79" t="s">
        <v>247</v>
      </c>
      <c r="B79" t="s">
        <v>248</v>
      </c>
      <c r="C79" t="s">
        <v>249</v>
      </c>
      <c r="D79" t="s">
        <v>250</v>
      </c>
      <c r="E79" t="s">
        <v>136</v>
      </c>
      <c r="F79" t="s">
        <v>251</v>
      </c>
      <c r="G79" t="s">
        <v>252</v>
      </c>
      <c r="H79">
        <v>2</v>
      </c>
      <c r="I79" t="s">
        <v>253</v>
      </c>
      <c r="J79">
        <v>3</v>
      </c>
      <c r="K79" t="s">
        <v>258</v>
      </c>
      <c r="L79" t="s">
        <v>259</v>
      </c>
      <c r="M79" s="1">
        <f t="shared" si="1"/>
        <v>4</v>
      </c>
      <c r="N79" t="str" cm="1">
        <f t="array" ref="N79">_xlfn.SWITCH(M79,12,"Fix now",11,"Fix now",10,"Fix now",9,"Fix now",8,"Plan",7,"Plan",6,"Plan",5,"Plan",4,"Accept",3,"Accept",2,"Accept",1,"Accept",0,"Accept")</f>
        <v>Accept</v>
      </c>
    </row>
    <row r="80" spans="1:14" x14ac:dyDescent="0.3">
      <c r="A80" t="s">
        <v>247</v>
      </c>
      <c r="B80" t="s">
        <v>248</v>
      </c>
      <c r="C80" t="s">
        <v>249</v>
      </c>
      <c r="D80" t="s">
        <v>250</v>
      </c>
      <c r="E80" t="s">
        <v>136</v>
      </c>
      <c r="F80" t="s">
        <v>251</v>
      </c>
      <c r="G80" t="s">
        <v>252</v>
      </c>
      <c r="H80">
        <v>2</v>
      </c>
      <c r="I80" t="s">
        <v>253</v>
      </c>
      <c r="J80">
        <v>4</v>
      </c>
      <c r="K80" t="s">
        <v>260</v>
      </c>
      <c r="L80" t="s">
        <v>261</v>
      </c>
      <c r="M80" s="1">
        <f t="shared" si="1"/>
        <v>2</v>
      </c>
      <c r="N80" t="str" cm="1">
        <f t="array" ref="N80">_xlfn.SWITCH(M80,12,"Fix now",11,"Fix now",10,"Fix now",9,"Fix now",8,"Plan",7,"Plan",6,"Plan",5,"Plan",4,"Accept",3,"Accept",2,"Accept",1,"Accept",0,"Accept")</f>
        <v>Accept</v>
      </c>
    </row>
    <row r="81" spans="1:14" x14ac:dyDescent="0.3">
      <c r="A81" t="s">
        <v>247</v>
      </c>
      <c r="B81" t="s">
        <v>248</v>
      </c>
      <c r="C81" t="s">
        <v>249</v>
      </c>
      <c r="D81" t="s">
        <v>250</v>
      </c>
      <c r="E81" t="s">
        <v>136</v>
      </c>
      <c r="F81" t="s">
        <v>251</v>
      </c>
      <c r="G81" t="s">
        <v>252</v>
      </c>
      <c r="H81">
        <v>2</v>
      </c>
      <c r="I81" t="s">
        <v>253</v>
      </c>
      <c r="J81">
        <v>5</v>
      </c>
      <c r="K81" t="s">
        <v>262</v>
      </c>
      <c r="L81" t="s">
        <v>263</v>
      </c>
      <c r="M81" s="1">
        <f t="shared" si="1"/>
        <v>0</v>
      </c>
      <c r="N81" t="str" cm="1">
        <f t="array" ref="N81">_xlfn.SWITCH(M81,12,"Fix now",11,"Fix now",10,"Fix now",9,"Fix now",8,"Plan",7,"Plan",6,"Plan",5,"Plan",4,"Accept",3,"Accept",2,"Accept",1,"Accept",0,"Accept")</f>
        <v>Accept</v>
      </c>
    </row>
    <row r="82" spans="1:14" x14ac:dyDescent="0.3">
      <c r="A82" t="s">
        <v>247</v>
      </c>
      <c r="B82" t="s">
        <v>248</v>
      </c>
      <c r="C82" t="s">
        <v>264</v>
      </c>
      <c r="D82" t="s">
        <v>265</v>
      </c>
      <c r="E82" t="s">
        <v>136</v>
      </c>
      <c r="F82" t="s">
        <v>266</v>
      </c>
      <c r="G82" t="s">
        <v>267</v>
      </c>
      <c r="H82">
        <v>3</v>
      </c>
      <c r="I82" t="s">
        <v>268</v>
      </c>
      <c r="J82">
        <v>1</v>
      </c>
      <c r="K82" t="s">
        <v>269</v>
      </c>
      <c r="L82" t="s">
        <v>270</v>
      </c>
      <c r="M82" s="1">
        <f t="shared" si="1"/>
        <v>12</v>
      </c>
      <c r="N82" t="str" cm="1">
        <f t="array" ref="N82">_xlfn.SWITCH(M82,12,"Fix now",11,"Fix now",10,"Fix now",9,"Fix now",8,"Plan",7,"Plan",6,"Plan",5,"Plan",4,"Accept",3,"Accept",2,"Accept",1,"Accept",0,"Accept")</f>
        <v>Fix now</v>
      </c>
    </row>
    <row r="83" spans="1:14" x14ac:dyDescent="0.3">
      <c r="A83" t="s">
        <v>247</v>
      </c>
      <c r="B83" t="s">
        <v>248</v>
      </c>
      <c r="C83" t="s">
        <v>264</v>
      </c>
      <c r="D83" t="s">
        <v>265</v>
      </c>
      <c r="E83" t="s">
        <v>136</v>
      </c>
      <c r="F83" t="s">
        <v>266</v>
      </c>
      <c r="G83" t="s">
        <v>267</v>
      </c>
      <c r="H83">
        <v>3</v>
      </c>
      <c r="I83" t="s">
        <v>268</v>
      </c>
      <c r="J83">
        <v>2</v>
      </c>
      <c r="K83" t="s">
        <v>271</v>
      </c>
      <c r="L83" t="s">
        <v>272</v>
      </c>
      <c r="M83" s="1">
        <f t="shared" si="1"/>
        <v>9</v>
      </c>
      <c r="N83" t="str" cm="1">
        <f t="array" ref="N83">_xlfn.SWITCH(M83,12,"Fix now",11,"Fix now",10,"Fix now",9,"Fix now",8,"Plan",7,"Plan",6,"Plan",5,"Plan",4,"Accept",3,"Accept",2,"Accept",1,"Accept",0,"Accept")</f>
        <v>Fix now</v>
      </c>
    </row>
    <row r="84" spans="1:14" x14ac:dyDescent="0.3">
      <c r="A84" t="s">
        <v>247</v>
      </c>
      <c r="B84" t="s">
        <v>248</v>
      </c>
      <c r="C84" t="s">
        <v>264</v>
      </c>
      <c r="D84" t="s">
        <v>265</v>
      </c>
      <c r="E84" t="s">
        <v>136</v>
      </c>
      <c r="F84" t="s">
        <v>266</v>
      </c>
      <c r="G84" t="s">
        <v>267</v>
      </c>
      <c r="H84">
        <v>3</v>
      </c>
      <c r="I84" t="s">
        <v>268</v>
      </c>
      <c r="J84">
        <v>3</v>
      </c>
      <c r="K84" t="s">
        <v>273</v>
      </c>
      <c r="L84" t="s">
        <v>274</v>
      </c>
      <c r="M84" s="1">
        <f t="shared" si="1"/>
        <v>6</v>
      </c>
      <c r="N84" t="str" cm="1">
        <f t="array" ref="N84">_xlfn.SWITCH(M84,12,"Fix now",11,"Fix now",10,"Fix now",9,"Fix now",8,"Plan",7,"Plan",6,"Plan",5,"Plan",4,"Accept",3,"Accept",2,"Accept",1,"Accept",0,"Accept")</f>
        <v>Plan</v>
      </c>
    </row>
    <row r="85" spans="1:14" x14ac:dyDescent="0.3">
      <c r="A85" t="s">
        <v>247</v>
      </c>
      <c r="B85" t="s">
        <v>248</v>
      </c>
      <c r="C85" t="s">
        <v>264</v>
      </c>
      <c r="D85" t="s">
        <v>265</v>
      </c>
      <c r="E85" t="s">
        <v>136</v>
      </c>
      <c r="F85" t="s">
        <v>266</v>
      </c>
      <c r="G85" t="s">
        <v>267</v>
      </c>
      <c r="H85">
        <v>3</v>
      </c>
      <c r="I85" t="s">
        <v>268</v>
      </c>
      <c r="J85">
        <v>4</v>
      </c>
      <c r="K85" t="s">
        <v>275</v>
      </c>
      <c r="L85" t="s">
        <v>276</v>
      </c>
      <c r="M85" s="1">
        <f t="shared" si="1"/>
        <v>3</v>
      </c>
      <c r="N85" t="str" cm="1">
        <f t="array" ref="N85">_xlfn.SWITCH(M85,12,"Fix now",11,"Fix now",10,"Fix now",9,"Fix now",8,"Plan",7,"Plan",6,"Plan",5,"Plan",4,"Accept",3,"Accept",2,"Accept",1,"Accept",0,"Accept")</f>
        <v>Accept</v>
      </c>
    </row>
    <row r="86" spans="1:14" x14ac:dyDescent="0.3">
      <c r="A86" t="s">
        <v>247</v>
      </c>
      <c r="B86" t="s">
        <v>248</v>
      </c>
      <c r="C86" t="s">
        <v>264</v>
      </c>
      <c r="D86" t="s">
        <v>265</v>
      </c>
      <c r="E86" t="s">
        <v>136</v>
      </c>
      <c r="F86" t="s">
        <v>266</v>
      </c>
      <c r="G86" t="s">
        <v>267</v>
      </c>
      <c r="H86">
        <v>3</v>
      </c>
      <c r="I86" t="s">
        <v>268</v>
      </c>
      <c r="J86">
        <v>5</v>
      </c>
      <c r="K86" t="s">
        <v>277</v>
      </c>
      <c r="L86" t="s">
        <v>278</v>
      </c>
      <c r="M86" s="1">
        <f t="shared" si="1"/>
        <v>0</v>
      </c>
      <c r="N86" t="str" cm="1">
        <f t="array" ref="N86">_xlfn.SWITCH(M86,12,"Fix now",11,"Fix now",10,"Fix now",9,"Fix now",8,"Plan",7,"Plan",6,"Plan",5,"Plan",4,"Accept",3,"Accept",2,"Accept",1,"Accept",0,"Accept")</f>
        <v>Accept</v>
      </c>
    </row>
    <row r="87" spans="1:14" x14ac:dyDescent="0.3">
      <c r="A87" t="s">
        <v>247</v>
      </c>
      <c r="B87" t="s">
        <v>248</v>
      </c>
      <c r="C87" t="s">
        <v>279</v>
      </c>
      <c r="D87" t="s">
        <v>280</v>
      </c>
      <c r="E87" t="s">
        <v>136</v>
      </c>
      <c r="F87" t="s">
        <v>281</v>
      </c>
      <c r="G87" t="s">
        <v>282</v>
      </c>
      <c r="H87">
        <v>2</v>
      </c>
      <c r="I87" t="s">
        <v>283</v>
      </c>
      <c r="J87">
        <v>1</v>
      </c>
      <c r="K87" t="s">
        <v>284</v>
      </c>
      <c r="L87" t="s">
        <v>285</v>
      </c>
      <c r="M87" s="1">
        <f t="shared" si="1"/>
        <v>8</v>
      </c>
      <c r="N87" t="str" cm="1">
        <f t="array" ref="N87">_xlfn.SWITCH(M87,12,"Fix now",11,"Fix now",10,"Fix now",9,"Fix now",8,"Plan",7,"Plan",6,"Plan",5,"Plan",4,"Accept",3,"Accept",2,"Accept",1,"Accept",0,"Accept")</f>
        <v>Plan</v>
      </c>
    </row>
    <row r="88" spans="1:14" x14ac:dyDescent="0.3">
      <c r="A88" t="s">
        <v>247</v>
      </c>
      <c r="B88" t="s">
        <v>248</v>
      </c>
      <c r="C88" t="s">
        <v>279</v>
      </c>
      <c r="D88" t="s">
        <v>280</v>
      </c>
      <c r="E88" t="s">
        <v>136</v>
      </c>
      <c r="F88" t="s">
        <v>281</v>
      </c>
      <c r="G88" t="s">
        <v>282</v>
      </c>
      <c r="H88">
        <v>2</v>
      </c>
      <c r="I88" t="s">
        <v>283</v>
      </c>
      <c r="J88">
        <v>2</v>
      </c>
      <c r="K88" t="s">
        <v>286</v>
      </c>
      <c r="L88" t="s">
        <v>287</v>
      </c>
      <c r="M88" s="1">
        <f t="shared" si="1"/>
        <v>6</v>
      </c>
      <c r="N88" t="str" cm="1">
        <f t="array" ref="N88">_xlfn.SWITCH(M88,12,"Fix now",11,"Fix now",10,"Fix now",9,"Fix now",8,"Plan",7,"Plan",6,"Plan",5,"Plan",4,"Accept",3,"Accept",2,"Accept",1,"Accept",0,"Accept")</f>
        <v>Plan</v>
      </c>
    </row>
    <row r="89" spans="1:14" x14ac:dyDescent="0.3">
      <c r="A89" t="s">
        <v>247</v>
      </c>
      <c r="B89" t="s">
        <v>248</v>
      </c>
      <c r="C89" t="s">
        <v>279</v>
      </c>
      <c r="D89" t="s">
        <v>280</v>
      </c>
      <c r="E89" t="s">
        <v>136</v>
      </c>
      <c r="F89" t="s">
        <v>281</v>
      </c>
      <c r="G89" t="s">
        <v>282</v>
      </c>
      <c r="H89">
        <v>2</v>
      </c>
      <c r="I89" t="s">
        <v>283</v>
      </c>
      <c r="J89">
        <v>3</v>
      </c>
      <c r="K89" t="s">
        <v>288</v>
      </c>
      <c r="L89" t="s">
        <v>289</v>
      </c>
      <c r="M89" s="1">
        <f t="shared" si="1"/>
        <v>4</v>
      </c>
      <c r="N89" t="str" cm="1">
        <f t="array" ref="N89">_xlfn.SWITCH(M89,12,"Fix now",11,"Fix now",10,"Fix now",9,"Fix now",8,"Plan",7,"Plan",6,"Plan",5,"Plan",4,"Accept",3,"Accept",2,"Accept",1,"Accept",0,"Accept")</f>
        <v>Accept</v>
      </c>
    </row>
    <row r="90" spans="1:14" x14ac:dyDescent="0.3">
      <c r="A90" t="s">
        <v>247</v>
      </c>
      <c r="B90" t="s">
        <v>248</v>
      </c>
      <c r="C90" t="s">
        <v>279</v>
      </c>
      <c r="D90" t="s">
        <v>280</v>
      </c>
      <c r="E90" t="s">
        <v>136</v>
      </c>
      <c r="F90" t="s">
        <v>281</v>
      </c>
      <c r="G90" t="s">
        <v>282</v>
      </c>
      <c r="H90">
        <v>2</v>
      </c>
      <c r="I90" t="s">
        <v>283</v>
      </c>
      <c r="J90">
        <v>4</v>
      </c>
      <c r="K90" t="s">
        <v>290</v>
      </c>
      <c r="L90" t="s">
        <v>291</v>
      </c>
      <c r="M90" s="1">
        <f t="shared" si="1"/>
        <v>2</v>
      </c>
      <c r="N90" t="str" cm="1">
        <f t="array" ref="N90">_xlfn.SWITCH(M90,12,"Fix now",11,"Fix now",10,"Fix now",9,"Fix now",8,"Plan",7,"Plan",6,"Plan",5,"Plan",4,"Accept",3,"Accept",2,"Accept",1,"Accept",0,"Accept")</f>
        <v>Accept</v>
      </c>
    </row>
    <row r="91" spans="1:14" x14ac:dyDescent="0.3">
      <c r="A91" t="s">
        <v>247</v>
      </c>
      <c r="B91" t="s">
        <v>248</v>
      </c>
      <c r="C91" t="s">
        <v>279</v>
      </c>
      <c r="D91" t="s">
        <v>280</v>
      </c>
      <c r="E91" t="s">
        <v>136</v>
      </c>
      <c r="F91" t="s">
        <v>281</v>
      </c>
      <c r="G91" t="s">
        <v>282</v>
      </c>
      <c r="H91">
        <v>2</v>
      </c>
      <c r="I91" t="s">
        <v>283</v>
      </c>
      <c r="J91">
        <v>5</v>
      </c>
      <c r="K91" t="s">
        <v>292</v>
      </c>
      <c r="L91" t="s">
        <v>293</v>
      </c>
      <c r="M91" s="1">
        <f t="shared" si="1"/>
        <v>0</v>
      </c>
      <c r="N91" t="str" cm="1">
        <f t="array" ref="N91">_xlfn.SWITCH(M91,12,"Fix now",11,"Fix now",10,"Fix now",9,"Fix now",8,"Plan",7,"Plan",6,"Plan",5,"Plan",4,"Accept",3,"Accept",2,"Accept",1,"Accept",0,"Accept")</f>
        <v>Accept</v>
      </c>
    </row>
    <row r="92" spans="1:14" x14ac:dyDescent="0.3">
      <c r="A92" t="s">
        <v>247</v>
      </c>
      <c r="B92" t="s">
        <v>248</v>
      </c>
      <c r="C92" t="s">
        <v>294</v>
      </c>
      <c r="D92" t="s">
        <v>295</v>
      </c>
      <c r="E92" t="s">
        <v>136</v>
      </c>
      <c r="F92" t="s">
        <v>296</v>
      </c>
      <c r="G92" t="s">
        <v>297</v>
      </c>
      <c r="H92">
        <v>3</v>
      </c>
      <c r="I92" t="s">
        <v>298</v>
      </c>
      <c r="J92">
        <v>1</v>
      </c>
      <c r="K92" t="s">
        <v>299</v>
      </c>
      <c r="L92" t="s">
        <v>300</v>
      </c>
      <c r="M92" s="1">
        <f t="shared" si="1"/>
        <v>12</v>
      </c>
      <c r="N92" t="str" cm="1">
        <f t="array" ref="N92">_xlfn.SWITCH(M92,12,"Fix now",11,"Fix now",10,"Fix now",9,"Fix now",8,"Plan",7,"Plan",6,"Plan",5,"Plan",4,"Accept",3,"Accept",2,"Accept",1,"Accept",0,"Accept")</f>
        <v>Fix now</v>
      </c>
    </row>
    <row r="93" spans="1:14" x14ac:dyDescent="0.3">
      <c r="A93" t="s">
        <v>247</v>
      </c>
      <c r="B93" t="s">
        <v>248</v>
      </c>
      <c r="C93" t="s">
        <v>294</v>
      </c>
      <c r="D93" t="s">
        <v>295</v>
      </c>
      <c r="E93" t="s">
        <v>136</v>
      </c>
      <c r="F93" t="s">
        <v>296</v>
      </c>
      <c r="G93" t="s">
        <v>297</v>
      </c>
      <c r="H93">
        <v>3</v>
      </c>
      <c r="I93" t="s">
        <v>298</v>
      </c>
      <c r="J93">
        <v>2</v>
      </c>
      <c r="K93" t="s">
        <v>301</v>
      </c>
      <c r="L93" t="s">
        <v>302</v>
      </c>
      <c r="M93" s="1">
        <f t="shared" si="1"/>
        <v>9</v>
      </c>
      <c r="N93" t="str" cm="1">
        <f t="array" ref="N93">_xlfn.SWITCH(M93,12,"Fix now",11,"Fix now",10,"Fix now",9,"Fix now",8,"Plan",7,"Plan",6,"Plan",5,"Plan",4,"Accept",3,"Accept",2,"Accept",1,"Accept",0,"Accept")</f>
        <v>Fix now</v>
      </c>
    </row>
    <row r="94" spans="1:14" x14ac:dyDescent="0.3">
      <c r="A94" t="s">
        <v>247</v>
      </c>
      <c r="B94" t="s">
        <v>248</v>
      </c>
      <c r="C94" t="s">
        <v>294</v>
      </c>
      <c r="D94" t="s">
        <v>295</v>
      </c>
      <c r="E94" t="s">
        <v>136</v>
      </c>
      <c r="F94" t="s">
        <v>296</v>
      </c>
      <c r="G94" t="s">
        <v>297</v>
      </c>
      <c r="H94">
        <v>3</v>
      </c>
      <c r="I94" t="s">
        <v>298</v>
      </c>
      <c r="J94">
        <v>3</v>
      </c>
      <c r="K94" t="s">
        <v>303</v>
      </c>
      <c r="L94" t="s">
        <v>304</v>
      </c>
      <c r="M94" s="1">
        <f t="shared" si="1"/>
        <v>6</v>
      </c>
      <c r="N94" t="str" cm="1">
        <f t="array" ref="N94">_xlfn.SWITCH(M94,12,"Fix now",11,"Fix now",10,"Fix now",9,"Fix now",8,"Plan",7,"Plan",6,"Plan",5,"Plan",4,"Accept",3,"Accept",2,"Accept",1,"Accept",0,"Accept")</f>
        <v>Plan</v>
      </c>
    </row>
    <row r="95" spans="1:14" x14ac:dyDescent="0.3">
      <c r="A95" t="s">
        <v>247</v>
      </c>
      <c r="B95" t="s">
        <v>248</v>
      </c>
      <c r="C95" t="s">
        <v>294</v>
      </c>
      <c r="D95" t="s">
        <v>295</v>
      </c>
      <c r="E95" t="s">
        <v>136</v>
      </c>
      <c r="F95" t="s">
        <v>296</v>
      </c>
      <c r="G95" t="s">
        <v>297</v>
      </c>
      <c r="H95">
        <v>3</v>
      </c>
      <c r="I95" t="s">
        <v>298</v>
      </c>
      <c r="J95">
        <v>4</v>
      </c>
      <c r="K95" t="s">
        <v>305</v>
      </c>
      <c r="L95" t="s">
        <v>306</v>
      </c>
      <c r="M95" s="1">
        <f t="shared" si="1"/>
        <v>3</v>
      </c>
      <c r="N95" t="str" cm="1">
        <f t="array" ref="N95">_xlfn.SWITCH(M95,12,"Fix now",11,"Fix now",10,"Fix now",9,"Fix now",8,"Plan",7,"Plan",6,"Plan",5,"Plan",4,"Accept",3,"Accept",2,"Accept",1,"Accept",0,"Accept")</f>
        <v>Accept</v>
      </c>
    </row>
    <row r="96" spans="1:14" x14ac:dyDescent="0.3">
      <c r="A96" t="s">
        <v>247</v>
      </c>
      <c r="B96" t="s">
        <v>248</v>
      </c>
      <c r="C96" t="s">
        <v>294</v>
      </c>
      <c r="D96" t="s">
        <v>295</v>
      </c>
      <c r="E96" t="s">
        <v>136</v>
      </c>
      <c r="F96" t="s">
        <v>296</v>
      </c>
      <c r="G96" t="s">
        <v>297</v>
      </c>
      <c r="H96">
        <v>3</v>
      </c>
      <c r="I96" t="s">
        <v>298</v>
      </c>
      <c r="J96">
        <v>5</v>
      </c>
      <c r="K96" t="s">
        <v>307</v>
      </c>
      <c r="L96" t="s">
        <v>308</v>
      </c>
      <c r="M96" s="1">
        <f t="shared" si="1"/>
        <v>0</v>
      </c>
      <c r="N96" t="str" cm="1">
        <f t="array" ref="N96">_xlfn.SWITCH(M96,12,"Fix now",11,"Fix now",10,"Fix now",9,"Fix now",8,"Plan",7,"Plan",6,"Plan",5,"Plan",4,"Accept",3,"Accept",2,"Accept",1,"Accept",0,"Accept")</f>
        <v>Accept</v>
      </c>
    </row>
    <row r="97" spans="1:14" x14ac:dyDescent="0.3">
      <c r="A97" t="s">
        <v>247</v>
      </c>
      <c r="B97" t="s">
        <v>248</v>
      </c>
      <c r="C97" t="s">
        <v>309</v>
      </c>
      <c r="D97" t="s">
        <v>310</v>
      </c>
      <c r="E97" t="s">
        <v>136</v>
      </c>
      <c r="F97" t="s">
        <v>311</v>
      </c>
      <c r="G97" t="s">
        <v>312</v>
      </c>
      <c r="H97">
        <v>3</v>
      </c>
      <c r="I97" t="s">
        <v>313</v>
      </c>
      <c r="J97">
        <v>1</v>
      </c>
      <c r="K97" t="s">
        <v>314</v>
      </c>
      <c r="L97" t="s">
        <v>315</v>
      </c>
      <c r="M97" s="1">
        <f t="shared" si="1"/>
        <v>12</v>
      </c>
      <c r="N97" t="str" cm="1">
        <f t="array" ref="N97">_xlfn.SWITCH(M97,12,"Fix now",11,"Fix now",10,"Fix now",9,"Fix now",8,"Plan",7,"Plan",6,"Plan",5,"Plan",4,"Accept",3,"Accept",2,"Accept",1,"Accept",0,"Accept")</f>
        <v>Fix now</v>
      </c>
    </row>
    <row r="98" spans="1:14" x14ac:dyDescent="0.3">
      <c r="A98" t="s">
        <v>247</v>
      </c>
      <c r="B98" t="s">
        <v>248</v>
      </c>
      <c r="C98" t="s">
        <v>309</v>
      </c>
      <c r="D98" t="s">
        <v>310</v>
      </c>
      <c r="E98" t="s">
        <v>136</v>
      </c>
      <c r="F98" t="s">
        <v>311</v>
      </c>
      <c r="G98" t="s">
        <v>312</v>
      </c>
      <c r="H98">
        <v>3</v>
      </c>
      <c r="I98" t="s">
        <v>313</v>
      </c>
      <c r="J98">
        <v>2</v>
      </c>
      <c r="K98" t="s">
        <v>316</v>
      </c>
      <c r="L98" t="s">
        <v>317</v>
      </c>
      <c r="M98" s="1">
        <f t="shared" si="1"/>
        <v>9</v>
      </c>
      <c r="N98" t="str" cm="1">
        <f t="array" ref="N98">_xlfn.SWITCH(M98,12,"Fix now",11,"Fix now",10,"Fix now",9,"Fix now",8,"Plan",7,"Plan",6,"Plan",5,"Plan",4,"Accept",3,"Accept",2,"Accept",1,"Accept",0,"Accept")</f>
        <v>Fix now</v>
      </c>
    </row>
    <row r="99" spans="1:14" x14ac:dyDescent="0.3">
      <c r="A99" t="s">
        <v>247</v>
      </c>
      <c r="B99" t="s">
        <v>248</v>
      </c>
      <c r="C99" t="s">
        <v>309</v>
      </c>
      <c r="D99" t="s">
        <v>310</v>
      </c>
      <c r="E99" t="s">
        <v>136</v>
      </c>
      <c r="F99" t="s">
        <v>311</v>
      </c>
      <c r="G99" t="s">
        <v>312</v>
      </c>
      <c r="H99">
        <v>3</v>
      </c>
      <c r="I99" t="s">
        <v>313</v>
      </c>
      <c r="J99">
        <v>3</v>
      </c>
      <c r="K99" t="s">
        <v>318</v>
      </c>
      <c r="L99" t="s">
        <v>319</v>
      </c>
      <c r="M99" s="1">
        <f t="shared" si="1"/>
        <v>6</v>
      </c>
      <c r="N99" t="str" cm="1">
        <f t="array" ref="N99">_xlfn.SWITCH(M99,12,"Fix now",11,"Fix now",10,"Fix now",9,"Fix now",8,"Plan",7,"Plan",6,"Plan",5,"Plan",4,"Accept",3,"Accept",2,"Accept",1,"Accept",0,"Accept")</f>
        <v>Plan</v>
      </c>
    </row>
    <row r="100" spans="1:14" x14ac:dyDescent="0.3">
      <c r="A100" t="s">
        <v>247</v>
      </c>
      <c r="B100" t="s">
        <v>248</v>
      </c>
      <c r="C100" t="s">
        <v>309</v>
      </c>
      <c r="D100" t="s">
        <v>310</v>
      </c>
      <c r="E100" t="s">
        <v>136</v>
      </c>
      <c r="F100" t="s">
        <v>311</v>
      </c>
      <c r="G100" t="s">
        <v>312</v>
      </c>
      <c r="H100">
        <v>3</v>
      </c>
      <c r="I100" t="s">
        <v>313</v>
      </c>
      <c r="J100">
        <v>4</v>
      </c>
      <c r="K100" t="s">
        <v>320</v>
      </c>
      <c r="L100" t="s">
        <v>321</v>
      </c>
      <c r="M100" s="1">
        <f t="shared" si="1"/>
        <v>3</v>
      </c>
      <c r="N100" t="str" cm="1">
        <f t="array" ref="N100">_xlfn.SWITCH(M100,12,"Fix now",11,"Fix now",10,"Fix now",9,"Fix now",8,"Plan",7,"Plan",6,"Plan",5,"Plan",4,"Accept",3,"Accept",2,"Accept",1,"Accept",0,"Accept")</f>
        <v>Accept</v>
      </c>
    </row>
    <row r="101" spans="1:14" x14ac:dyDescent="0.3">
      <c r="A101" t="s">
        <v>247</v>
      </c>
      <c r="B101" t="s">
        <v>248</v>
      </c>
      <c r="C101" t="s">
        <v>309</v>
      </c>
      <c r="D101" t="s">
        <v>310</v>
      </c>
      <c r="E101" t="s">
        <v>136</v>
      </c>
      <c r="F101" t="s">
        <v>311</v>
      </c>
      <c r="G101" t="s">
        <v>312</v>
      </c>
      <c r="H101">
        <v>3</v>
      </c>
      <c r="I101" t="s">
        <v>313</v>
      </c>
      <c r="J101">
        <v>5</v>
      </c>
      <c r="K101" t="s">
        <v>322</v>
      </c>
      <c r="L101" t="s">
        <v>323</v>
      </c>
      <c r="M101" s="1">
        <f t="shared" si="1"/>
        <v>0</v>
      </c>
      <c r="N101" t="str" cm="1">
        <f t="array" ref="N101">_xlfn.SWITCH(M101,12,"Fix now",11,"Fix now",10,"Fix now",9,"Fix now",8,"Plan",7,"Plan",6,"Plan",5,"Plan",4,"Accept",3,"Accept",2,"Accept",1,"Accept",0,"Accept")</f>
        <v>Accept</v>
      </c>
    </row>
    <row r="102" spans="1:14" x14ac:dyDescent="0.3">
      <c r="A102" t="s">
        <v>324</v>
      </c>
      <c r="B102" t="s">
        <v>325</v>
      </c>
      <c r="C102" t="s">
        <v>326</v>
      </c>
      <c r="D102" t="s">
        <v>327</v>
      </c>
      <c r="E102" t="s">
        <v>173</v>
      </c>
      <c r="F102" t="s">
        <v>328</v>
      </c>
      <c r="G102" t="s">
        <v>329</v>
      </c>
      <c r="H102">
        <v>3</v>
      </c>
      <c r="I102" t="s">
        <v>330</v>
      </c>
      <c r="J102">
        <v>1</v>
      </c>
      <c r="K102" t="s">
        <v>331</v>
      </c>
      <c r="L102" t="s">
        <v>332</v>
      </c>
      <c r="M102" s="1">
        <f t="shared" si="1"/>
        <v>12</v>
      </c>
      <c r="N102" t="str" cm="1">
        <f t="array" ref="N102">_xlfn.SWITCH(M102,12,"Fix now",11,"Fix now",10,"Fix now",9,"Fix now",8,"Plan",7,"Plan",6,"Plan",5,"Plan",4,"Accept",3,"Accept",2,"Accept",1,"Accept",0,"Accept")</f>
        <v>Fix now</v>
      </c>
    </row>
    <row r="103" spans="1:14" x14ac:dyDescent="0.3">
      <c r="A103" t="s">
        <v>324</v>
      </c>
      <c r="B103" t="s">
        <v>325</v>
      </c>
      <c r="C103" t="s">
        <v>326</v>
      </c>
      <c r="D103" t="s">
        <v>327</v>
      </c>
      <c r="E103" t="s">
        <v>173</v>
      </c>
      <c r="F103" t="s">
        <v>328</v>
      </c>
      <c r="G103" t="s">
        <v>329</v>
      </c>
      <c r="H103">
        <v>3</v>
      </c>
      <c r="I103" t="s">
        <v>330</v>
      </c>
      <c r="J103">
        <v>2</v>
      </c>
      <c r="K103" t="s">
        <v>333</v>
      </c>
      <c r="L103" t="s">
        <v>334</v>
      </c>
      <c r="M103" s="1">
        <f t="shared" si="1"/>
        <v>9</v>
      </c>
      <c r="N103" t="str" cm="1">
        <f t="array" ref="N103">_xlfn.SWITCH(M103,12,"Fix now",11,"Fix now",10,"Fix now",9,"Fix now",8,"Plan",7,"Plan",6,"Plan",5,"Plan",4,"Accept",3,"Accept",2,"Accept",1,"Accept",0,"Accept")</f>
        <v>Fix now</v>
      </c>
    </row>
    <row r="104" spans="1:14" x14ac:dyDescent="0.3">
      <c r="A104" t="s">
        <v>324</v>
      </c>
      <c r="B104" t="s">
        <v>325</v>
      </c>
      <c r="C104" t="s">
        <v>326</v>
      </c>
      <c r="D104" t="s">
        <v>327</v>
      </c>
      <c r="E104" t="s">
        <v>173</v>
      </c>
      <c r="F104" t="s">
        <v>328</v>
      </c>
      <c r="G104" t="s">
        <v>329</v>
      </c>
      <c r="H104">
        <v>3</v>
      </c>
      <c r="I104" t="s">
        <v>330</v>
      </c>
      <c r="J104">
        <v>3</v>
      </c>
      <c r="K104" t="s">
        <v>335</v>
      </c>
      <c r="L104" t="s">
        <v>336</v>
      </c>
      <c r="M104" s="1">
        <f t="shared" si="1"/>
        <v>6</v>
      </c>
      <c r="N104" t="str" cm="1">
        <f t="array" ref="N104">_xlfn.SWITCH(M104,12,"Fix now",11,"Fix now",10,"Fix now",9,"Fix now",8,"Plan",7,"Plan",6,"Plan",5,"Plan",4,"Accept",3,"Accept",2,"Accept",1,"Accept",0,"Accept")</f>
        <v>Plan</v>
      </c>
    </row>
    <row r="105" spans="1:14" x14ac:dyDescent="0.3">
      <c r="A105" t="s">
        <v>324</v>
      </c>
      <c r="B105" t="s">
        <v>325</v>
      </c>
      <c r="C105" t="s">
        <v>326</v>
      </c>
      <c r="D105" t="s">
        <v>327</v>
      </c>
      <c r="E105" t="s">
        <v>173</v>
      </c>
      <c r="F105" t="s">
        <v>328</v>
      </c>
      <c r="G105" t="s">
        <v>329</v>
      </c>
      <c r="H105">
        <v>3</v>
      </c>
      <c r="I105" t="s">
        <v>330</v>
      </c>
      <c r="J105">
        <v>4</v>
      </c>
      <c r="K105" t="s">
        <v>337</v>
      </c>
      <c r="L105" t="s">
        <v>338</v>
      </c>
      <c r="M105" s="1">
        <f t="shared" si="1"/>
        <v>3</v>
      </c>
      <c r="N105" t="str" cm="1">
        <f t="array" ref="N105">_xlfn.SWITCH(M105,12,"Fix now",11,"Fix now",10,"Fix now",9,"Fix now",8,"Plan",7,"Plan",6,"Plan",5,"Plan",4,"Accept",3,"Accept",2,"Accept",1,"Accept",0,"Accept")</f>
        <v>Accept</v>
      </c>
    </row>
    <row r="106" spans="1:14" x14ac:dyDescent="0.3">
      <c r="A106" t="s">
        <v>324</v>
      </c>
      <c r="B106" t="s">
        <v>325</v>
      </c>
      <c r="C106" t="s">
        <v>326</v>
      </c>
      <c r="D106" t="s">
        <v>327</v>
      </c>
      <c r="E106" t="s">
        <v>173</v>
      </c>
      <c r="F106" t="s">
        <v>328</v>
      </c>
      <c r="G106" t="s">
        <v>329</v>
      </c>
      <c r="H106">
        <v>3</v>
      </c>
      <c r="I106" t="s">
        <v>330</v>
      </c>
      <c r="J106">
        <v>5</v>
      </c>
      <c r="K106" t="s">
        <v>339</v>
      </c>
      <c r="L106" t="s">
        <v>340</v>
      </c>
      <c r="M106" s="1">
        <f t="shared" si="1"/>
        <v>0</v>
      </c>
      <c r="N106" t="str" cm="1">
        <f t="array" ref="N106">_xlfn.SWITCH(M106,12,"Fix now",11,"Fix now",10,"Fix now",9,"Fix now",8,"Plan",7,"Plan",6,"Plan",5,"Plan",4,"Accept",3,"Accept",2,"Accept",1,"Accept",0,"Accept")</f>
        <v>Accept</v>
      </c>
    </row>
    <row r="107" spans="1:14" x14ac:dyDescent="0.3">
      <c r="A107" t="s">
        <v>324</v>
      </c>
      <c r="B107" t="s">
        <v>325</v>
      </c>
      <c r="C107" t="s">
        <v>341</v>
      </c>
      <c r="D107" t="s">
        <v>342</v>
      </c>
      <c r="E107" t="s">
        <v>173</v>
      </c>
      <c r="F107" t="s">
        <v>343</v>
      </c>
      <c r="G107" t="s">
        <v>344</v>
      </c>
      <c r="H107">
        <v>2</v>
      </c>
      <c r="I107" t="s">
        <v>345</v>
      </c>
      <c r="J107">
        <v>1</v>
      </c>
      <c r="K107" t="s">
        <v>346</v>
      </c>
      <c r="L107" t="s">
        <v>347</v>
      </c>
      <c r="M107" s="1">
        <f t="shared" si="1"/>
        <v>8</v>
      </c>
      <c r="N107" t="str" cm="1">
        <f t="array" ref="N107">_xlfn.SWITCH(M107,12,"Fix now",11,"Fix now",10,"Fix now",9,"Fix now",8,"Plan",7,"Plan",6,"Plan",5,"Plan",4,"Accept",3,"Accept",2,"Accept",1,"Accept",0,"Accept")</f>
        <v>Plan</v>
      </c>
    </row>
    <row r="108" spans="1:14" x14ac:dyDescent="0.3">
      <c r="A108" t="s">
        <v>324</v>
      </c>
      <c r="B108" t="s">
        <v>325</v>
      </c>
      <c r="C108" t="s">
        <v>341</v>
      </c>
      <c r="D108" t="s">
        <v>342</v>
      </c>
      <c r="E108" t="s">
        <v>173</v>
      </c>
      <c r="F108" t="s">
        <v>343</v>
      </c>
      <c r="G108" t="s">
        <v>344</v>
      </c>
      <c r="H108">
        <v>2</v>
      </c>
      <c r="I108" t="s">
        <v>345</v>
      </c>
      <c r="J108">
        <v>2</v>
      </c>
      <c r="K108" t="s">
        <v>348</v>
      </c>
      <c r="L108" t="s">
        <v>349</v>
      </c>
      <c r="M108" s="1">
        <f t="shared" si="1"/>
        <v>6</v>
      </c>
      <c r="N108" t="str" cm="1">
        <f t="array" ref="N108">_xlfn.SWITCH(M108,12,"Fix now",11,"Fix now",10,"Fix now",9,"Fix now",8,"Plan",7,"Plan",6,"Plan",5,"Plan",4,"Accept",3,"Accept",2,"Accept",1,"Accept",0,"Accept")</f>
        <v>Plan</v>
      </c>
    </row>
    <row r="109" spans="1:14" x14ac:dyDescent="0.3">
      <c r="A109" t="s">
        <v>324</v>
      </c>
      <c r="B109" t="s">
        <v>325</v>
      </c>
      <c r="C109" t="s">
        <v>341</v>
      </c>
      <c r="D109" t="s">
        <v>342</v>
      </c>
      <c r="E109" t="s">
        <v>173</v>
      </c>
      <c r="F109" t="s">
        <v>343</v>
      </c>
      <c r="G109" t="s">
        <v>344</v>
      </c>
      <c r="H109">
        <v>2</v>
      </c>
      <c r="I109" t="s">
        <v>345</v>
      </c>
      <c r="J109">
        <v>3</v>
      </c>
      <c r="K109" t="s">
        <v>350</v>
      </c>
      <c r="L109" t="s">
        <v>351</v>
      </c>
      <c r="M109" s="1">
        <f t="shared" si="1"/>
        <v>4</v>
      </c>
      <c r="N109" t="str" cm="1">
        <f t="array" ref="N109">_xlfn.SWITCH(M109,12,"Fix now",11,"Fix now",10,"Fix now",9,"Fix now",8,"Plan",7,"Plan",6,"Plan",5,"Plan",4,"Accept",3,"Accept",2,"Accept",1,"Accept",0,"Accept")</f>
        <v>Accept</v>
      </c>
    </row>
    <row r="110" spans="1:14" x14ac:dyDescent="0.3">
      <c r="A110" t="s">
        <v>324</v>
      </c>
      <c r="B110" t="s">
        <v>325</v>
      </c>
      <c r="C110" t="s">
        <v>341</v>
      </c>
      <c r="D110" t="s">
        <v>342</v>
      </c>
      <c r="E110" t="s">
        <v>173</v>
      </c>
      <c r="F110" t="s">
        <v>343</v>
      </c>
      <c r="G110" t="s">
        <v>344</v>
      </c>
      <c r="H110">
        <v>2</v>
      </c>
      <c r="I110" t="s">
        <v>345</v>
      </c>
      <c r="J110">
        <v>4</v>
      </c>
      <c r="K110" t="s">
        <v>352</v>
      </c>
      <c r="L110" t="s">
        <v>353</v>
      </c>
      <c r="M110" s="1">
        <f t="shared" si="1"/>
        <v>2</v>
      </c>
      <c r="N110" t="str" cm="1">
        <f t="array" ref="N110">_xlfn.SWITCH(M110,12,"Fix now",11,"Fix now",10,"Fix now",9,"Fix now",8,"Plan",7,"Plan",6,"Plan",5,"Plan",4,"Accept",3,"Accept",2,"Accept",1,"Accept",0,"Accept")</f>
        <v>Accept</v>
      </c>
    </row>
    <row r="111" spans="1:14" x14ac:dyDescent="0.3">
      <c r="A111" t="s">
        <v>324</v>
      </c>
      <c r="B111" t="s">
        <v>325</v>
      </c>
      <c r="C111" t="s">
        <v>341</v>
      </c>
      <c r="D111" t="s">
        <v>342</v>
      </c>
      <c r="E111" t="s">
        <v>173</v>
      </c>
      <c r="F111" t="s">
        <v>343</v>
      </c>
      <c r="G111" t="s">
        <v>344</v>
      </c>
      <c r="H111">
        <v>2</v>
      </c>
      <c r="I111" t="s">
        <v>345</v>
      </c>
      <c r="J111">
        <v>5</v>
      </c>
      <c r="K111" t="s">
        <v>354</v>
      </c>
      <c r="L111" t="s">
        <v>355</v>
      </c>
      <c r="M111" s="1">
        <f t="shared" si="1"/>
        <v>0</v>
      </c>
      <c r="N111" t="str" cm="1">
        <f t="array" ref="N111">_xlfn.SWITCH(M111,12,"Fix now",11,"Fix now",10,"Fix now",9,"Fix now",8,"Plan",7,"Plan",6,"Plan",5,"Plan",4,"Accept",3,"Accept",2,"Accept",1,"Accept",0,"Accept")</f>
        <v>Accept</v>
      </c>
    </row>
    <row r="112" spans="1:14" x14ac:dyDescent="0.3">
      <c r="A112" t="s">
        <v>324</v>
      </c>
      <c r="B112" t="s">
        <v>325</v>
      </c>
      <c r="C112" t="s">
        <v>356</v>
      </c>
      <c r="D112" t="s">
        <v>357</v>
      </c>
      <c r="E112" t="s">
        <v>173</v>
      </c>
      <c r="F112" t="s">
        <v>358</v>
      </c>
      <c r="G112" t="s">
        <v>359</v>
      </c>
      <c r="H112">
        <v>2</v>
      </c>
      <c r="I112" t="s">
        <v>360</v>
      </c>
      <c r="J112">
        <v>1</v>
      </c>
      <c r="K112" t="s">
        <v>361</v>
      </c>
      <c r="L112" t="s">
        <v>362</v>
      </c>
      <c r="M112" s="1">
        <f t="shared" si="1"/>
        <v>8</v>
      </c>
      <c r="N112" t="str" cm="1">
        <f t="array" ref="N112">_xlfn.SWITCH(M112,12,"Fix now",11,"Fix now",10,"Fix now",9,"Fix now",8,"Plan",7,"Plan",6,"Plan",5,"Plan",4,"Accept",3,"Accept",2,"Accept",1,"Accept",0,"Accept")</f>
        <v>Plan</v>
      </c>
    </row>
    <row r="113" spans="1:14" x14ac:dyDescent="0.3">
      <c r="A113" t="s">
        <v>324</v>
      </c>
      <c r="B113" t="s">
        <v>325</v>
      </c>
      <c r="C113" t="s">
        <v>356</v>
      </c>
      <c r="D113" t="s">
        <v>357</v>
      </c>
      <c r="E113" t="s">
        <v>173</v>
      </c>
      <c r="F113" t="s">
        <v>358</v>
      </c>
      <c r="G113" t="s">
        <v>359</v>
      </c>
      <c r="H113">
        <v>2</v>
      </c>
      <c r="I113" t="s">
        <v>360</v>
      </c>
      <c r="J113">
        <v>2</v>
      </c>
      <c r="K113" t="s">
        <v>363</v>
      </c>
      <c r="L113" t="s">
        <v>364</v>
      </c>
      <c r="M113" s="1">
        <f t="shared" si="1"/>
        <v>6</v>
      </c>
      <c r="N113" t="str" cm="1">
        <f t="array" ref="N113">_xlfn.SWITCH(M113,12,"Fix now",11,"Fix now",10,"Fix now",9,"Fix now",8,"Plan",7,"Plan",6,"Plan",5,"Plan",4,"Accept",3,"Accept",2,"Accept",1,"Accept",0,"Accept")</f>
        <v>Plan</v>
      </c>
    </row>
    <row r="114" spans="1:14" x14ac:dyDescent="0.3">
      <c r="A114" t="s">
        <v>324</v>
      </c>
      <c r="B114" t="s">
        <v>325</v>
      </c>
      <c r="C114" t="s">
        <v>356</v>
      </c>
      <c r="D114" t="s">
        <v>357</v>
      </c>
      <c r="E114" t="s">
        <v>173</v>
      </c>
      <c r="F114" t="s">
        <v>358</v>
      </c>
      <c r="G114" t="s">
        <v>359</v>
      </c>
      <c r="H114">
        <v>2</v>
      </c>
      <c r="I114" t="s">
        <v>360</v>
      </c>
      <c r="J114">
        <v>3</v>
      </c>
      <c r="K114" t="s">
        <v>365</v>
      </c>
      <c r="L114" t="s">
        <v>366</v>
      </c>
      <c r="M114" s="1">
        <f t="shared" si="1"/>
        <v>4</v>
      </c>
      <c r="N114" t="str" cm="1">
        <f t="array" ref="N114">_xlfn.SWITCH(M114,12,"Fix now",11,"Fix now",10,"Fix now",9,"Fix now",8,"Plan",7,"Plan",6,"Plan",5,"Plan",4,"Accept",3,"Accept",2,"Accept",1,"Accept",0,"Accept")</f>
        <v>Accept</v>
      </c>
    </row>
    <row r="115" spans="1:14" x14ac:dyDescent="0.3">
      <c r="A115" t="s">
        <v>324</v>
      </c>
      <c r="B115" t="s">
        <v>325</v>
      </c>
      <c r="C115" t="s">
        <v>356</v>
      </c>
      <c r="D115" t="s">
        <v>357</v>
      </c>
      <c r="E115" t="s">
        <v>173</v>
      </c>
      <c r="F115" t="s">
        <v>358</v>
      </c>
      <c r="G115" t="s">
        <v>359</v>
      </c>
      <c r="H115">
        <v>2</v>
      </c>
      <c r="I115" t="s">
        <v>360</v>
      </c>
      <c r="J115">
        <v>4</v>
      </c>
      <c r="K115" t="s">
        <v>367</v>
      </c>
      <c r="L115" t="s">
        <v>368</v>
      </c>
      <c r="M115" s="1">
        <f t="shared" si="1"/>
        <v>2</v>
      </c>
      <c r="N115" t="str" cm="1">
        <f t="array" ref="N115">_xlfn.SWITCH(M115,12,"Fix now",11,"Fix now",10,"Fix now",9,"Fix now",8,"Plan",7,"Plan",6,"Plan",5,"Plan",4,"Accept",3,"Accept",2,"Accept",1,"Accept",0,"Accept")</f>
        <v>Accept</v>
      </c>
    </row>
    <row r="116" spans="1:14" x14ac:dyDescent="0.3">
      <c r="A116" t="s">
        <v>324</v>
      </c>
      <c r="B116" t="s">
        <v>325</v>
      </c>
      <c r="C116" t="s">
        <v>356</v>
      </c>
      <c r="D116" t="s">
        <v>357</v>
      </c>
      <c r="E116" t="s">
        <v>173</v>
      </c>
      <c r="F116" t="s">
        <v>358</v>
      </c>
      <c r="G116" t="s">
        <v>359</v>
      </c>
      <c r="H116">
        <v>2</v>
      </c>
      <c r="I116" t="s">
        <v>360</v>
      </c>
      <c r="J116">
        <v>5</v>
      </c>
      <c r="K116" t="s">
        <v>369</v>
      </c>
      <c r="L116" t="s">
        <v>370</v>
      </c>
      <c r="M116" s="1">
        <f t="shared" si="1"/>
        <v>0</v>
      </c>
      <c r="N116" t="str" cm="1">
        <f t="array" ref="N116">_xlfn.SWITCH(M116,12,"Fix now",11,"Fix now",10,"Fix now",9,"Fix now",8,"Plan",7,"Plan",6,"Plan",5,"Plan",4,"Accept",3,"Accept",2,"Accept",1,"Accept",0,"Accept")</f>
        <v>Accept</v>
      </c>
    </row>
    <row r="117" spans="1:14" x14ac:dyDescent="0.3">
      <c r="A117" t="s">
        <v>324</v>
      </c>
      <c r="B117" t="s">
        <v>325</v>
      </c>
      <c r="C117" t="s">
        <v>371</v>
      </c>
      <c r="D117" t="s">
        <v>372</v>
      </c>
      <c r="E117" t="s">
        <v>173</v>
      </c>
      <c r="F117" t="s">
        <v>373</v>
      </c>
      <c r="G117" t="s">
        <v>374</v>
      </c>
      <c r="H117">
        <v>2</v>
      </c>
      <c r="I117" t="s">
        <v>375</v>
      </c>
      <c r="J117">
        <v>1</v>
      </c>
      <c r="K117" t="s">
        <v>376</v>
      </c>
      <c r="L117" t="s">
        <v>377</v>
      </c>
      <c r="M117" s="1">
        <f t="shared" si="1"/>
        <v>8</v>
      </c>
      <c r="N117" t="str" cm="1">
        <f t="array" ref="N117">_xlfn.SWITCH(M117,12,"Fix now",11,"Fix now",10,"Fix now",9,"Fix now",8,"Plan",7,"Plan",6,"Plan",5,"Plan",4,"Accept",3,"Accept",2,"Accept",1,"Accept",0,"Accept")</f>
        <v>Plan</v>
      </c>
    </row>
    <row r="118" spans="1:14" x14ac:dyDescent="0.3">
      <c r="A118" t="s">
        <v>324</v>
      </c>
      <c r="B118" t="s">
        <v>325</v>
      </c>
      <c r="C118" t="s">
        <v>371</v>
      </c>
      <c r="D118" t="s">
        <v>372</v>
      </c>
      <c r="E118" t="s">
        <v>173</v>
      </c>
      <c r="F118" t="s">
        <v>373</v>
      </c>
      <c r="G118" t="s">
        <v>374</v>
      </c>
      <c r="H118">
        <v>2</v>
      </c>
      <c r="I118" t="s">
        <v>375</v>
      </c>
      <c r="J118">
        <v>2</v>
      </c>
      <c r="K118" t="s">
        <v>378</v>
      </c>
      <c r="L118" t="s">
        <v>379</v>
      </c>
      <c r="M118" s="1">
        <f t="shared" si="1"/>
        <v>6</v>
      </c>
      <c r="N118" t="str" cm="1">
        <f t="array" ref="N118">_xlfn.SWITCH(M118,12,"Fix now",11,"Fix now",10,"Fix now",9,"Fix now",8,"Plan",7,"Plan",6,"Plan",5,"Plan",4,"Accept",3,"Accept",2,"Accept",1,"Accept",0,"Accept")</f>
        <v>Plan</v>
      </c>
    </row>
    <row r="119" spans="1:14" x14ac:dyDescent="0.3">
      <c r="A119" t="s">
        <v>324</v>
      </c>
      <c r="B119" t="s">
        <v>325</v>
      </c>
      <c r="C119" t="s">
        <v>371</v>
      </c>
      <c r="D119" t="s">
        <v>372</v>
      </c>
      <c r="E119" t="s">
        <v>173</v>
      </c>
      <c r="F119" t="s">
        <v>373</v>
      </c>
      <c r="G119" t="s">
        <v>374</v>
      </c>
      <c r="H119">
        <v>2</v>
      </c>
      <c r="I119" t="s">
        <v>375</v>
      </c>
      <c r="J119">
        <v>3</v>
      </c>
      <c r="K119" t="s">
        <v>380</v>
      </c>
      <c r="L119" t="s">
        <v>381</v>
      </c>
      <c r="M119" s="1">
        <f t="shared" si="1"/>
        <v>4</v>
      </c>
      <c r="N119" t="str" cm="1">
        <f t="array" ref="N119">_xlfn.SWITCH(M119,12,"Fix now",11,"Fix now",10,"Fix now",9,"Fix now",8,"Plan",7,"Plan",6,"Plan",5,"Plan",4,"Accept",3,"Accept",2,"Accept",1,"Accept",0,"Accept")</f>
        <v>Accept</v>
      </c>
    </row>
    <row r="120" spans="1:14" x14ac:dyDescent="0.3">
      <c r="A120" t="s">
        <v>324</v>
      </c>
      <c r="B120" t="s">
        <v>325</v>
      </c>
      <c r="C120" t="s">
        <v>371</v>
      </c>
      <c r="D120" t="s">
        <v>372</v>
      </c>
      <c r="E120" t="s">
        <v>173</v>
      </c>
      <c r="F120" t="s">
        <v>373</v>
      </c>
      <c r="G120" t="s">
        <v>374</v>
      </c>
      <c r="H120">
        <v>2</v>
      </c>
      <c r="I120" t="s">
        <v>375</v>
      </c>
      <c r="J120">
        <v>4</v>
      </c>
      <c r="K120" t="s">
        <v>382</v>
      </c>
      <c r="L120" t="s">
        <v>383</v>
      </c>
      <c r="M120" s="1">
        <f t="shared" si="1"/>
        <v>2</v>
      </c>
      <c r="N120" t="str" cm="1">
        <f t="array" ref="N120">_xlfn.SWITCH(M120,12,"Fix now",11,"Fix now",10,"Fix now",9,"Fix now",8,"Plan",7,"Plan",6,"Plan",5,"Plan",4,"Accept",3,"Accept",2,"Accept",1,"Accept",0,"Accept")</f>
        <v>Accept</v>
      </c>
    </row>
    <row r="121" spans="1:14" x14ac:dyDescent="0.3">
      <c r="A121" t="s">
        <v>324</v>
      </c>
      <c r="B121" t="s">
        <v>325</v>
      </c>
      <c r="C121" t="s">
        <v>371</v>
      </c>
      <c r="D121" t="s">
        <v>372</v>
      </c>
      <c r="E121" t="s">
        <v>173</v>
      </c>
      <c r="F121" t="s">
        <v>373</v>
      </c>
      <c r="G121" t="s">
        <v>374</v>
      </c>
      <c r="H121">
        <v>2</v>
      </c>
      <c r="I121" t="s">
        <v>375</v>
      </c>
      <c r="J121">
        <v>5</v>
      </c>
      <c r="K121" t="s">
        <v>384</v>
      </c>
      <c r="L121" t="s">
        <v>385</v>
      </c>
      <c r="M121" s="1">
        <f t="shared" si="1"/>
        <v>0</v>
      </c>
      <c r="N121" t="str" cm="1">
        <f t="array" ref="N121">_xlfn.SWITCH(M121,12,"Fix now",11,"Fix now",10,"Fix now",9,"Fix now",8,"Plan",7,"Plan",6,"Plan",5,"Plan",4,"Accept",3,"Accept",2,"Accept",1,"Accept",0,"Accept")</f>
        <v>Accept</v>
      </c>
    </row>
    <row r="122" spans="1:14" x14ac:dyDescent="0.3">
      <c r="A122" t="s">
        <v>324</v>
      </c>
      <c r="B122" t="s">
        <v>325</v>
      </c>
      <c r="C122" t="s">
        <v>386</v>
      </c>
      <c r="D122" t="s">
        <v>387</v>
      </c>
      <c r="E122" t="s">
        <v>173</v>
      </c>
      <c r="F122" t="s">
        <v>388</v>
      </c>
      <c r="G122" t="s">
        <v>389</v>
      </c>
      <c r="H122">
        <v>2</v>
      </c>
      <c r="I122" t="s">
        <v>390</v>
      </c>
      <c r="J122">
        <v>1</v>
      </c>
      <c r="K122" t="s">
        <v>391</v>
      </c>
      <c r="L122" t="s">
        <v>392</v>
      </c>
      <c r="M122" s="1">
        <f t="shared" si="1"/>
        <v>8</v>
      </c>
      <c r="N122" t="str" cm="1">
        <f t="array" ref="N122">_xlfn.SWITCH(M122,12,"Fix now",11,"Fix now",10,"Fix now",9,"Fix now",8,"Plan",7,"Plan",6,"Plan",5,"Plan",4,"Accept",3,"Accept",2,"Accept",1,"Accept",0,"Accept")</f>
        <v>Plan</v>
      </c>
    </row>
    <row r="123" spans="1:14" x14ac:dyDescent="0.3">
      <c r="A123" t="s">
        <v>324</v>
      </c>
      <c r="B123" t="s">
        <v>325</v>
      </c>
      <c r="C123" t="s">
        <v>386</v>
      </c>
      <c r="D123" t="s">
        <v>387</v>
      </c>
      <c r="E123" t="s">
        <v>173</v>
      </c>
      <c r="F123" t="s">
        <v>388</v>
      </c>
      <c r="G123" t="s">
        <v>389</v>
      </c>
      <c r="H123">
        <v>2</v>
      </c>
      <c r="I123" t="s">
        <v>390</v>
      </c>
      <c r="J123">
        <v>2</v>
      </c>
      <c r="K123" t="s">
        <v>393</v>
      </c>
      <c r="L123" t="s">
        <v>394</v>
      </c>
      <c r="M123" s="1">
        <f t="shared" si="1"/>
        <v>6</v>
      </c>
      <c r="N123" t="str" cm="1">
        <f t="array" ref="N123">_xlfn.SWITCH(M123,12,"Fix now",11,"Fix now",10,"Fix now",9,"Fix now",8,"Plan",7,"Plan",6,"Plan",5,"Plan",4,"Accept",3,"Accept",2,"Accept",1,"Accept",0,"Accept")</f>
        <v>Plan</v>
      </c>
    </row>
    <row r="124" spans="1:14" x14ac:dyDescent="0.3">
      <c r="A124" t="s">
        <v>324</v>
      </c>
      <c r="B124" t="s">
        <v>325</v>
      </c>
      <c r="C124" t="s">
        <v>386</v>
      </c>
      <c r="D124" t="s">
        <v>387</v>
      </c>
      <c r="E124" t="s">
        <v>173</v>
      </c>
      <c r="F124" t="s">
        <v>388</v>
      </c>
      <c r="G124" t="s">
        <v>389</v>
      </c>
      <c r="H124">
        <v>2</v>
      </c>
      <c r="I124" t="s">
        <v>390</v>
      </c>
      <c r="J124">
        <v>3</v>
      </c>
      <c r="K124" t="s">
        <v>395</v>
      </c>
      <c r="L124" t="s">
        <v>396</v>
      </c>
      <c r="M124" s="1">
        <f t="shared" si="1"/>
        <v>4</v>
      </c>
      <c r="N124" t="str" cm="1">
        <f t="array" ref="N124">_xlfn.SWITCH(M124,12,"Fix now",11,"Fix now",10,"Fix now",9,"Fix now",8,"Plan",7,"Plan",6,"Plan",5,"Plan",4,"Accept",3,"Accept",2,"Accept",1,"Accept",0,"Accept")</f>
        <v>Accept</v>
      </c>
    </row>
    <row r="125" spans="1:14" x14ac:dyDescent="0.3">
      <c r="A125" t="s">
        <v>324</v>
      </c>
      <c r="B125" t="s">
        <v>325</v>
      </c>
      <c r="C125" t="s">
        <v>386</v>
      </c>
      <c r="D125" t="s">
        <v>387</v>
      </c>
      <c r="E125" t="s">
        <v>173</v>
      </c>
      <c r="F125" t="s">
        <v>388</v>
      </c>
      <c r="G125" t="s">
        <v>389</v>
      </c>
      <c r="H125">
        <v>2</v>
      </c>
      <c r="I125" t="s">
        <v>390</v>
      </c>
      <c r="J125">
        <v>4</v>
      </c>
      <c r="K125" t="s">
        <v>397</v>
      </c>
      <c r="L125" t="s">
        <v>398</v>
      </c>
      <c r="M125" s="1">
        <f t="shared" si="1"/>
        <v>2</v>
      </c>
      <c r="N125" t="str" cm="1">
        <f t="array" ref="N125">_xlfn.SWITCH(M125,12,"Fix now",11,"Fix now",10,"Fix now",9,"Fix now",8,"Plan",7,"Plan",6,"Plan",5,"Plan",4,"Accept",3,"Accept",2,"Accept",1,"Accept",0,"Accept")</f>
        <v>Accept</v>
      </c>
    </row>
    <row r="126" spans="1:14" x14ac:dyDescent="0.3">
      <c r="A126" t="s">
        <v>324</v>
      </c>
      <c r="B126" t="s">
        <v>325</v>
      </c>
      <c r="C126" t="s">
        <v>386</v>
      </c>
      <c r="D126" t="s">
        <v>387</v>
      </c>
      <c r="E126" t="s">
        <v>173</v>
      </c>
      <c r="F126" t="s">
        <v>388</v>
      </c>
      <c r="G126" t="s">
        <v>389</v>
      </c>
      <c r="H126">
        <v>2</v>
      </c>
      <c r="I126" t="s">
        <v>390</v>
      </c>
      <c r="J126">
        <v>5</v>
      </c>
      <c r="K126" t="s">
        <v>399</v>
      </c>
      <c r="L126" t="s">
        <v>400</v>
      </c>
      <c r="M126" s="1">
        <f t="shared" si="1"/>
        <v>0</v>
      </c>
      <c r="N126" t="str" cm="1">
        <f t="array" ref="N126">_xlfn.SWITCH(M126,12,"Fix now",11,"Fix now",10,"Fix now",9,"Fix now",8,"Plan",7,"Plan",6,"Plan",5,"Plan",4,"Accept",3,"Accept",2,"Accept",1,"Accept",0,"Accept")</f>
        <v>Accept</v>
      </c>
    </row>
    <row r="127" spans="1:14" x14ac:dyDescent="0.3">
      <c r="A127" t="s">
        <v>401</v>
      </c>
      <c r="B127" t="s">
        <v>402</v>
      </c>
      <c r="C127" t="s">
        <v>403</v>
      </c>
      <c r="D127" t="s">
        <v>404</v>
      </c>
      <c r="E127" t="s">
        <v>136</v>
      </c>
      <c r="F127" t="s">
        <v>405</v>
      </c>
      <c r="G127" t="s">
        <v>406</v>
      </c>
      <c r="H127">
        <v>3</v>
      </c>
      <c r="I127" t="s">
        <v>407</v>
      </c>
      <c r="J127">
        <v>1</v>
      </c>
      <c r="K127" t="s">
        <v>408</v>
      </c>
      <c r="L127" t="s">
        <v>409</v>
      </c>
      <c r="M127" s="1">
        <f t="shared" si="1"/>
        <v>12</v>
      </c>
      <c r="N127" t="str" cm="1">
        <f t="array" ref="N127">_xlfn.SWITCH(M127,12,"Fix now",11,"Fix now",10,"Fix now",9,"Fix now",8,"Plan",7,"Plan",6,"Plan",5,"Plan",4,"Accept",3,"Accept",2,"Accept",1,"Accept",0,"Accept")</f>
        <v>Fix now</v>
      </c>
    </row>
    <row r="128" spans="1:14" x14ac:dyDescent="0.3">
      <c r="A128" t="s">
        <v>401</v>
      </c>
      <c r="B128" t="s">
        <v>402</v>
      </c>
      <c r="C128" t="s">
        <v>403</v>
      </c>
      <c r="D128" t="s">
        <v>404</v>
      </c>
      <c r="E128" t="s">
        <v>136</v>
      </c>
      <c r="F128" t="s">
        <v>405</v>
      </c>
      <c r="G128" t="s">
        <v>406</v>
      </c>
      <c r="H128">
        <v>3</v>
      </c>
      <c r="I128" t="s">
        <v>407</v>
      </c>
      <c r="J128">
        <v>2</v>
      </c>
      <c r="K128" t="s">
        <v>410</v>
      </c>
      <c r="L128" t="s">
        <v>411</v>
      </c>
      <c r="M128" s="1">
        <f t="shared" si="1"/>
        <v>9</v>
      </c>
      <c r="N128" t="str" cm="1">
        <f t="array" ref="N128">_xlfn.SWITCH(M128,12,"Fix now",11,"Fix now",10,"Fix now",9,"Fix now",8,"Plan",7,"Plan",6,"Plan",5,"Plan",4,"Accept",3,"Accept",2,"Accept",1,"Accept",0,"Accept")</f>
        <v>Fix now</v>
      </c>
    </row>
    <row r="129" spans="1:14" x14ac:dyDescent="0.3">
      <c r="A129" t="s">
        <v>401</v>
      </c>
      <c r="B129" t="s">
        <v>402</v>
      </c>
      <c r="C129" t="s">
        <v>403</v>
      </c>
      <c r="D129" t="s">
        <v>404</v>
      </c>
      <c r="E129" t="s">
        <v>136</v>
      </c>
      <c r="F129" t="s">
        <v>405</v>
      </c>
      <c r="G129" t="s">
        <v>406</v>
      </c>
      <c r="H129">
        <v>3</v>
      </c>
      <c r="I129" t="s">
        <v>407</v>
      </c>
      <c r="J129">
        <v>3</v>
      </c>
      <c r="K129" t="s">
        <v>412</v>
      </c>
      <c r="L129" t="s">
        <v>413</v>
      </c>
      <c r="M129" s="1">
        <f t="shared" si="1"/>
        <v>6</v>
      </c>
      <c r="N129" t="str" cm="1">
        <f t="array" ref="N129">_xlfn.SWITCH(M129,12,"Fix now",11,"Fix now",10,"Fix now",9,"Fix now",8,"Plan",7,"Plan",6,"Plan",5,"Plan",4,"Accept",3,"Accept",2,"Accept",1,"Accept",0,"Accept")</f>
        <v>Plan</v>
      </c>
    </row>
    <row r="130" spans="1:14" x14ac:dyDescent="0.3">
      <c r="A130" t="s">
        <v>401</v>
      </c>
      <c r="B130" t="s">
        <v>402</v>
      </c>
      <c r="C130" t="s">
        <v>403</v>
      </c>
      <c r="D130" t="s">
        <v>404</v>
      </c>
      <c r="E130" t="s">
        <v>136</v>
      </c>
      <c r="F130" t="s">
        <v>405</v>
      </c>
      <c r="G130" t="s">
        <v>406</v>
      </c>
      <c r="H130">
        <v>3</v>
      </c>
      <c r="I130" t="s">
        <v>407</v>
      </c>
      <c r="J130">
        <v>4</v>
      </c>
      <c r="K130" t="s">
        <v>414</v>
      </c>
      <c r="L130" t="s">
        <v>415</v>
      </c>
      <c r="M130" s="1">
        <f t="shared" si="1"/>
        <v>3</v>
      </c>
      <c r="N130" t="str" cm="1">
        <f t="array" ref="N130">_xlfn.SWITCH(M130,12,"Fix now",11,"Fix now",10,"Fix now",9,"Fix now",8,"Plan",7,"Plan",6,"Plan",5,"Plan",4,"Accept",3,"Accept",2,"Accept",1,"Accept",0,"Accept")</f>
        <v>Accept</v>
      </c>
    </row>
    <row r="131" spans="1:14" x14ac:dyDescent="0.3">
      <c r="A131" t="s">
        <v>401</v>
      </c>
      <c r="B131" t="s">
        <v>402</v>
      </c>
      <c r="C131" t="s">
        <v>403</v>
      </c>
      <c r="D131" t="s">
        <v>404</v>
      </c>
      <c r="E131" t="s">
        <v>136</v>
      </c>
      <c r="F131" t="s">
        <v>405</v>
      </c>
      <c r="G131" t="s">
        <v>406</v>
      </c>
      <c r="H131">
        <v>3</v>
      </c>
      <c r="I131" t="s">
        <v>407</v>
      </c>
      <c r="J131">
        <v>5</v>
      </c>
      <c r="K131" t="s">
        <v>416</v>
      </c>
      <c r="L131" t="s">
        <v>417</v>
      </c>
      <c r="M131" s="1">
        <f t="shared" ref="M131:M194" si="2">(5-$J131)*H131</f>
        <v>0</v>
      </c>
      <c r="N131" t="str" cm="1">
        <f t="array" ref="N131">_xlfn.SWITCH(M131,12,"Fix now",11,"Fix now",10,"Fix now",9,"Fix now",8,"Plan",7,"Plan",6,"Plan",5,"Plan",4,"Accept",3,"Accept",2,"Accept",1,"Accept",0,"Accept")</f>
        <v>Accept</v>
      </c>
    </row>
    <row r="132" spans="1:14" x14ac:dyDescent="0.3">
      <c r="A132" t="s">
        <v>401</v>
      </c>
      <c r="B132" t="s">
        <v>402</v>
      </c>
      <c r="C132" t="s">
        <v>418</v>
      </c>
      <c r="D132" t="s">
        <v>419</v>
      </c>
      <c r="E132" t="s">
        <v>136</v>
      </c>
      <c r="F132" t="s">
        <v>420</v>
      </c>
      <c r="G132" t="s">
        <v>421</v>
      </c>
      <c r="H132">
        <v>3</v>
      </c>
      <c r="I132" t="s">
        <v>422</v>
      </c>
      <c r="J132">
        <v>1</v>
      </c>
      <c r="K132" t="s">
        <v>423</v>
      </c>
      <c r="L132" t="s">
        <v>424</v>
      </c>
      <c r="M132" s="1">
        <f t="shared" si="2"/>
        <v>12</v>
      </c>
      <c r="N132" t="str" cm="1">
        <f t="array" ref="N132">_xlfn.SWITCH(M132,12,"Fix now",11,"Fix now",10,"Fix now",9,"Fix now",8,"Plan",7,"Plan",6,"Plan",5,"Plan",4,"Accept",3,"Accept",2,"Accept",1,"Accept",0,"Accept")</f>
        <v>Fix now</v>
      </c>
    </row>
    <row r="133" spans="1:14" x14ac:dyDescent="0.3">
      <c r="A133" t="s">
        <v>401</v>
      </c>
      <c r="B133" t="s">
        <v>402</v>
      </c>
      <c r="C133" t="s">
        <v>418</v>
      </c>
      <c r="D133" t="s">
        <v>419</v>
      </c>
      <c r="E133" t="s">
        <v>136</v>
      </c>
      <c r="F133" t="s">
        <v>420</v>
      </c>
      <c r="G133" t="s">
        <v>421</v>
      </c>
      <c r="H133">
        <v>3</v>
      </c>
      <c r="I133" t="s">
        <v>422</v>
      </c>
      <c r="J133">
        <v>2</v>
      </c>
      <c r="K133" t="s">
        <v>425</v>
      </c>
      <c r="L133" t="s">
        <v>426</v>
      </c>
      <c r="M133" s="1">
        <f t="shared" si="2"/>
        <v>9</v>
      </c>
      <c r="N133" t="str" cm="1">
        <f t="array" ref="N133">_xlfn.SWITCH(M133,12,"Fix now",11,"Fix now",10,"Fix now",9,"Fix now",8,"Plan",7,"Plan",6,"Plan",5,"Plan",4,"Accept",3,"Accept",2,"Accept",1,"Accept",0,"Accept")</f>
        <v>Fix now</v>
      </c>
    </row>
    <row r="134" spans="1:14" x14ac:dyDescent="0.3">
      <c r="A134" t="s">
        <v>401</v>
      </c>
      <c r="B134" t="s">
        <v>402</v>
      </c>
      <c r="C134" t="s">
        <v>418</v>
      </c>
      <c r="D134" t="s">
        <v>419</v>
      </c>
      <c r="E134" t="s">
        <v>136</v>
      </c>
      <c r="F134" t="s">
        <v>420</v>
      </c>
      <c r="G134" t="s">
        <v>421</v>
      </c>
      <c r="H134">
        <v>3</v>
      </c>
      <c r="I134" t="s">
        <v>422</v>
      </c>
      <c r="J134">
        <v>3</v>
      </c>
      <c r="K134" t="s">
        <v>427</v>
      </c>
      <c r="L134" t="s">
        <v>428</v>
      </c>
      <c r="M134" s="1">
        <f t="shared" si="2"/>
        <v>6</v>
      </c>
      <c r="N134" t="str" cm="1">
        <f t="array" ref="N134">_xlfn.SWITCH(M134,12,"Fix now",11,"Fix now",10,"Fix now",9,"Fix now",8,"Plan",7,"Plan",6,"Plan",5,"Plan",4,"Accept",3,"Accept",2,"Accept",1,"Accept",0,"Accept")</f>
        <v>Plan</v>
      </c>
    </row>
    <row r="135" spans="1:14" x14ac:dyDescent="0.3">
      <c r="A135" t="s">
        <v>401</v>
      </c>
      <c r="B135" t="s">
        <v>402</v>
      </c>
      <c r="C135" t="s">
        <v>418</v>
      </c>
      <c r="D135" t="s">
        <v>419</v>
      </c>
      <c r="E135" t="s">
        <v>136</v>
      </c>
      <c r="F135" t="s">
        <v>420</v>
      </c>
      <c r="G135" t="s">
        <v>421</v>
      </c>
      <c r="H135">
        <v>3</v>
      </c>
      <c r="I135" t="s">
        <v>422</v>
      </c>
      <c r="J135">
        <v>4</v>
      </c>
      <c r="K135" t="s">
        <v>429</v>
      </c>
      <c r="L135" t="s">
        <v>430</v>
      </c>
      <c r="M135" s="1">
        <f t="shared" si="2"/>
        <v>3</v>
      </c>
      <c r="N135" t="str" cm="1">
        <f t="array" ref="N135">_xlfn.SWITCH(M135,12,"Fix now",11,"Fix now",10,"Fix now",9,"Fix now",8,"Plan",7,"Plan",6,"Plan",5,"Plan",4,"Accept",3,"Accept",2,"Accept",1,"Accept",0,"Accept")</f>
        <v>Accept</v>
      </c>
    </row>
    <row r="136" spans="1:14" x14ac:dyDescent="0.3">
      <c r="A136" t="s">
        <v>401</v>
      </c>
      <c r="B136" t="s">
        <v>402</v>
      </c>
      <c r="C136" t="s">
        <v>418</v>
      </c>
      <c r="D136" t="s">
        <v>419</v>
      </c>
      <c r="E136" t="s">
        <v>136</v>
      </c>
      <c r="F136" t="s">
        <v>420</v>
      </c>
      <c r="G136" t="s">
        <v>421</v>
      </c>
      <c r="H136">
        <v>3</v>
      </c>
      <c r="I136" t="s">
        <v>422</v>
      </c>
      <c r="J136">
        <v>5</v>
      </c>
      <c r="K136" t="s">
        <v>431</v>
      </c>
      <c r="L136" t="s">
        <v>432</v>
      </c>
      <c r="M136" s="1">
        <f t="shared" si="2"/>
        <v>0</v>
      </c>
      <c r="N136" t="str" cm="1">
        <f t="array" ref="N136">_xlfn.SWITCH(M136,12,"Fix now",11,"Fix now",10,"Fix now",9,"Fix now",8,"Plan",7,"Plan",6,"Plan",5,"Plan",4,"Accept",3,"Accept",2,"Accept",1,"Accept",0,"Accept")</f>
        <v>Accept</v>
      </c>
    </row>
    <row r="137" spans="1:14" x14ac:dyDescent="0.3">
      <c r="A137" t="s">
        <v>401</v>
      </c>
      <c r="B137" t="s">
        <v>402</v>
      </c>
      <c r="C137" t="s">
        <v>433</v>
      </c>
      <c r="D137" t="s">
        <v>434</v>
      </c>
      <c r="E137" t="s">
        <v>136</v>
      </c>
      <c r="F137" t="s">
        <v>435</v>
      </c>
      <c r="G137" t="s">
        <v>436</v>
      </c>
      <c r="H137">
        <v>2</v>
      </c>
      <c r="I137" t="s">
        <v>437</v>
      </c>
      <c r="J137">
        <v>1</v>
      </c>
      <c r="K137" t="s">
        <v>438</v>
      </c>
      <c r="L137" t="s">
        <v>439</v>
      </c>
      <c r="M137" s="1">
        <f t="shared" si="2"/>
        <v>8</v>
      </c>
      <c r="N137" t="str" cm="1">
        <f t="array" ref="N137">_xlfn.SWITCH(M137,12,"Fix now",11,"Fix now",10,"Fix now",9,"Fix now",8,"Plan",7,"Plan",6,"Plan",5,"Plan",4,"Accept",3,"Accept",2,"Accept",1,"Accept",0,"Accept")</f>
        <v>Plan</v>
      </c>
    </row>
    <row r="138" spans="1:14" x14ac:dyDescent="0.3">
      <c r="A138" t="s">
        <v>401</v>
      </c>
      <c r="B138" t="s">
        <v>402</v>
      </c>
      <c r="C138" t="s">
        <v>433</v>
      </c>
      <c r="D138" t="s">
        <v>434</v>
      </c>
      <c r="E138" t="s">
        <v>136</v>
      </c>
      <c r="F138" t="s">
        <v>435</v>
      </c>
      <c r="G138" t="s">
        <v>436</v>
      </c>
      <c r="H138">
        <v>2</v>
      </c>
      <c r="I138" t="s">
        <v>437</v>
      </c>
      <c r="J138">
        <v>2</v>
      </c>
      <c r="K138" t="s">
        <v>440</v>
      </c>
      <c r="L138" t="s">
        <v>441</v>
      </c>
      <c r="M138" s="1">
        <f t="shared" si="2"/>
        <v>6</v>
      </c>
      <c r="N138" t="str" cm="1">
        <f t="array" ref="N138">_xlfn.SWITCH(M138,12,"Fix now",11,"Fix now",10,"Fix now",9,"Fix now",8,"Plan",7,"Plan",6,"Plan",5,"Plan",4,"Accept",3,"Accept",2,"Accept",1,"Accept",0,"Accept")</f>
        <v>Plan</v>
      </c>
    </row>
    <row r="139" spans="1:14" x14ac:dyDescent="0.3">
      <c r="A139" t="s">
        <v>401</v>
      </c>
      <c r="B139" t="s">
        <v>402</v>
      </c>
      <c r="C139" t="s">
        <v>433</v>
      </c>
      <c r="D139" t="s">
        <v>434</v>
      </c>
      <c r="E139" t="s">
        <v>136</v>
      </c>
      <c r="F139" t="s">
        <v>435</v>
      </c>
      <c r="G139" t="s">
        <v>436</v>
      </c>
      <c r="H139">
        <v>2</v>
      </c>
      <c r="I139" t="s">
        <v>437</v>
      </c>
      <c r="J139">
        <v>3</v>
      </c>
      <c r="K139" t="s">
        <v>442</v>
      </c>
      <c r="L139" t="s">
        <v>443</v>
      </c>
      <c r="M139" s="1">
        <f t="shared" si="2"/>
        <v>4</v>
      </c>
      <c r="N139" t="str" cm="1">
        <f t="array" ref="N139">_xlfn.SWITCH(M139,12,"Fix now",11,"Fix now",10,"Fix now",9,"Fix now",8,"Plan",7,"Plan",6,"Plan",5,"Plan",4,"Accept",3,"Accept",2,"Accept",1,"Accept",0,"Accept")</f>
        <v>Accept</v>
      </c>
    </row>
    <row r="140" spans="1:14" x14ac:dyDescent="0.3">
      <c r="A140" t="s">
        <v>401</v>
      </c>
      <c r="B140" t="s">
        <v>402</v>
      </c>
      <c r="C140" t="s">
        <v>433</v>
      </c>
      <c r="D140" t="s">
        <v>434</v>
      </c>
      <c r="E140" t="s">
        <v>136</v>
      </c>
      <c r="F140" t="s">
        <v>435</v>
      </c>
      <c r="G140" t="s">
        <v>436</v>
      </c>
      <c r="H140">
        <v>2</v>
      </c>
      <c r="I140" t="s">
        <v>437</v>
      </c>
      <c r="J140">
        <v>4</v>
      </c>
      <c r="K140" t="s">
        <v>444</v>
      </c>
      <c r="L140" t="s">
        <v>445</v>
      </c>
      <c r="M140" s="1">
        <f t="shared" si="2"/>
        <v>2</v>
      </c>
      <c r="N140" t="str" cm="1">
        <f t="array" ref="N140">_xlfn.SWITCH(M140,12,"Fix now",11,"Fix now",10,"Fix now",9,"Fix now",8,"Plan",7,"Plan",6,"Plan",5,"Plan",4,"Accept",3,"Accept",2,"Accept",1,"Accept",0,"Accept")</f>
        <v>Accept</v>
      </c>
    </row>
    <row r="141" spans="1:14" x14ac:dyDescent="0.3">
      <c r="A141" t="s">
        <v>401</v>
      </c>
      <c r="B141" t="s">
        <v>402</v>
      </c>
      <c r="C141" t="s">
        <v>433</v>
      </c>
      <c r="D141" t="s">
        <v>434</v>
      </c>
      <c r="E141" t="s">
        <v>136</v>
      </c>
      <c r="F141" t="s">
        <v>435</v>
      </c>
      <c r="G141" t="s">
        <v>436</v>
      </c>
      <c r="H141">
        <v>2</v>
      </c>
      <c r="I141" t="s">
        <v>437</v>
      </c>
      <c r="J141">
        <v>5</v>
      </c>
      <c r="K141" t="s">
        <v>446</v>
      </c>
      <c r="L141" t="s">
        <v>447</v>
      </c>
      <c r="M141" s="1">
        <f t="shared" si="2"/>
        <v>0</v>
      </c>
      <c r="N141" t="str" cm="1">
        <f t="array" ref="N141">_xlfn.SWITCH(M141,12,"Fix now",11,"Fix now",10,"Fix now",9,"Fix now",8,"Plan",7,"Plan",6,"Plan",5,"Plan",4,"Accept",3,"Accept",2,"Accept",1,"Accept",0,"Accept")</f>
        <v>Accept</v>
      </c>
    </row>
    <row r="142" spans="1:14" x14ac:dyDescent="0.3">
      <c r="A142" t="s">
        <v>401</v>
      </c>
      <c r="B142" t="s">
        <v>402</v>
      </c>
      <c r="C142" t="s">
        <v>448</v>
      </c>
      <c r="D142" t="s">
        <v>449</v>
      </c>
      <c r="E142" t="s">
        <v>136</v>
      </c>
      <c r="F142" t="s">
        <v>450</v>
      </c>
      <c r="G142" t="s">
        <v>451</v>
      </c>
      <c r="H142">
        <v>2</v>
      </c>
      <c r="I142" t="s">
        <v>452</v>
      </c>
      <c r="J142">
        <v>1</v>
      </c>
      <c r="K142" t="s">
        <v>453</v>
      </c>
      <c r="L142" t="s">
        <v>454</v>
      </c>
      <c r="M142" s="1">
        <f t="shared" si="2"/>
        <v>8</v>
      </c>
      <c r="N142" t="str" cm="1">
        <f t="array" ref="N142">_xlfn.SWITCH(M142,12,"Fix now",11,"Fix now",10,"Fix now",9,"Fix now",8,"Plan",7,"Plan",6,"Plan",5,"Plan",4,"Accept",3,"Accept",2,"Accept",1,"Accept",0,"Accept")</f>
        <v>Plan</v>
      </c>
    </row>
    <row r="143" spans="1:14" x14ac:dyDescent="0.3">
      <c r="A143" t="s">
        <v>401</v>
      </c>
      <c r="B143" t="s">
        <v>402</v>
      </c>
      <c r="C143" t="s">
        <v>448</v>
      </c>
      <c r="D143" t="s">
        <v>449</v>
      </c>
      <c r="E143" t="s">
        <v>136</v>
      </c>
      <c r="F143" t="s">
        <v>450</v>
      </c>
      <c r="G143" t="s">
        <v>451</v>
      </c>
      <c r="H143">
        <v>2</v>
      </c>
      <c r="I143" t="s">
        <v>452</v>
      </c>
      <c r="J143">
        <v>2</v>
      </c>
      <c r="K143" t="s">
        <v>455</v>
      </c>
      <c r="L143" t="s">
        <v>456</v>
      </c>
      <c r="M143" s="1">
        <f t="shared" si="2"/>
        <v>6</v>
      </c>
      <c r="N143" t="str" cm="1">
        <f t="array" ref="N143">_xlfn.SWITCH(M143,12,"Fix now",11,"Fix now",10,"Fix now",9,"Fix now",8,"Plan",7,"Plan",6,"Plan",5,"Plan",4,"Accept",3,"Accept",2,"Accept",1,"Accept",0,"Accept")</f>
        <v>Plan</v>
      </c>
    </row>
    <row r="144" spans="1:14" x14ac:dyDescent="0.3">
      <c r="A144" t="s">
        <v>401</v>
      </c>
      <c r="B144" t="s">
        <v>402</v>
      </c>
      <c r="C144" t="s">
        <v>448</v>
      </c>
      <c r="D144" t="s">
        <v>449</v>
      </c>
      <c r="E144" t="s">
        <v>136</v>
      </c>
      <c r="F144" t="s">
        <v>450</v>
      </c>
      <c r="G144" t="s">
        <v>451</v>
      </c>
      <c r="H144">
        <v>2</v>
      </c>
      <c r="I144" t="s">
        <v>452</v>
      </c>
      <c r="J144">
        <v>3</v>
      </c>
      <c r="K144" t="s">
        <v>457</v>
      </c>
      <c r="L144" t="s">
        <v>458</v>
      </c>
      <c r="M144" s="1">
        <f t="shared" si="2"/>
        <v>4</v>
      </c>
      <c r="N144" t="str" cm="1">
        <f t="array" ref="N144">_xlfn.SWITCH(M144,12,"Fix now",11,"Fix now",10,"Fix now",9,"Fix now",8,"Plan",7,"Plan",6,"Plan",5,"Plan",4,"Accept",3,"Accept",2,"Accept",1,"Accept",0,"Accept")</f>
        <v>Accept</v>
      </c>
    </row>
    <row r="145" spans="1:14" x14ac:dyDescent="0.3">
      <c r="A145" t="s">
        <v>401</v>
      </c>
      <c r="B145" t="s">
        <v>402</v>
      </c>
      <c r="C145" t="s">
        <v>448</v>
      </c>
      <c r="D145" t="s">
        <v>449</v>
      </c>
      <c r="E145" t="s">
        <v>136</v>
      </c>
      <c r="F145" t="s">
        <v>450</v>
      </c>
      <c r="G145" t="s">
        <v>451</v>
      </c>
      <c r="H145">
        <v>2</v>
      </c>
      <c r="I145" t="s">
        <v>452</v>
      </c>
      <c r="J145">
        <v>4</v>
      </c>
      <c r="K145" t="s">
        <v>459</v>
      </c>
      <c r="L145" t="s">
        <v>460</v>
      </c>
      <c r="M145" s="1">
        <f t="shared" si="2"/>
        <v>2</v>
      </c>
      <c r="N145" t="str" cm="1">
        <f t="array" ref="N145">_xlfn.SWITCH(M145,12,"Fix now",11,"Fix now",10,"Fix now",9,"Fix now",8,"Plan",7,"Plan",6,"Plan",5,"Plan",4,"Accept",3,"Accept",2,"Accept",1,"Accept",0,"Accept")</f>
        <v>Accept</v>
      </c>
    </row>
    <row r="146" spans="1:14" x14ac:dyDescent="0.3">
      <c r="A146" t="s">
        <v>401</v>
      </c>
      <c r="B146" t="s">
        <v>402</v>
      </c>
      <c r="C146" t="s">
        <v>448</v>
      </c>
      <c r="D146" t="s">
        <v>449</v>
      </c>
      <c r="E146" t="s">
        <v>136</v>
      </c>
      <c r="F146" t="s">
        <v>450</v>
      </c>
      <c r="G146" t="s">
        <v>451</v>
      </c>
      <c r="H146">
        <v>2</v>
      </c>
      <c r="I146" t="s">
        <v>452</v>
      </c>
      <c r="J146">
        <v>5</v>
      </c>
      <c r="K146" t="s">
        <v>461</v>
      </c>
      <c r="L146" t="s">
        <v>462</v>
      </c>
      <c r="M146" s="1">
        <f t="shared" si="2"/>
        <v>0</v>
      </c>
      <c r="N146" t="str" cm="1">
        <f t="array" ref="N146">_xlfn.SWITCH(M146,12,"Fix now",11,"Fix now",10,"Fix now",9,"Fix now",8,"Plan",7,"Plan",6,"Plan",5,"Plan",4,"Accept",3,"Accept",2,"Accept",1,"Accept",0,"Accept")</f>
        <v>Accept</v>
      </c>
    </row>
    <row r="147" spans="1:14" x14ac:dyDescent="0.3">
      <c r="A147" t="s">
        <v>401</v>
      </c>
      <c r="B147" t="s">
        <v>402</v>
      </c>
      <c r="C147" t="s">
        <v>463</v>
      </c>
      <c r="D147" t="s">
        <v>464</v>
      </c>
      <c r="E147" t="s">
        <v>136</v>
      </c>
      <c r="F147" t="s">
        <v>465</v>
      </c>
      <c r="G147" t="s">
        <v>466</v>
      </c>
      <c r="H147">
        <v>1</v>
      </c>
      <c r="I147" t="s">
        <v>467</v>
      </c>
      <c r="J147">
        <v>1</v>
      </c>
      <c r="K147" t="s">
        <v>468</v>
      </c>
      <c r="L147" t="s">
        <v>469</v>
      </c>
      <c r="M147" s="1">
        <f t="shared" si="2"/>
        <v>4</v>
      </c>
      <c r="N147" t="str" cm="1">
        <f t="array" ref="N147">_xlfn.SWITCH(M147,12,"Fix now",11,"Fix now",10,"Fix now",9,"Fix now",8,"Plan",7,"Plan",6,"Plan",5,"Plan",4,"Accept",3,"Accept",2,"Accept",1,"Accept",0,"Accept")</f>
        <v>Accept</v>
      </c>
    </row>
    <row r="148" spans="1:14" x14ac:dyDescent="0.3">
      <c r="A148" t="s">
        <v>401</v>
      </c>
      <c r="B148" t="s">
        <v>402</v>
      </c>
      <c r="C148" t="s">
        <v>463</v>
      </c>
      <c r="D148" t="s">
        <v>464</v>
      </c>
      <c r="E148" t="s">
        <v>136</v>
      </c>
      <c r="F148" t="s">
        <v>465</v>
      </c>
      <c r="G148" t="s">
        <v>466</v>
      </c>
      <c r="H148">
        <v>1</v>
      </c>
      <c r="I148" t="s">
        <v>467</v>
      </c>
      <c r="J148">
        <v>2</v>
      </c>
      <c r="K148" t="s">
        <v>470</v>
      </c>
      <c r="L148" t="s">
        <v>471</v>
      </c>
      <c r="M148" s="1">
        <f t="shared" si="2"/>
        <v>3</v>
      </c>
      <c r="N148" t="str" cm="1">
        <f t="array" ref="N148">_xlfn.SWITCH(M148,12,"Fix now",11,"Fix now",10,"Fix now",9,"Fix now",8,"Plan",7,"Plan",6,"Plan",5,"Plan",4,"Accept",3,"Accept",2,"Accept",1,"Accept",0,"Accept")</f>
        <v>Accept</v>
      </c>
    </row>
    <row r="149" spans="1:14" x14ac:dyDescent="0.3">
      <c r="A149" t="s">
        <v>401</v>
      </c>
      <c r="B149" t="s">
        <v>402</v>
      </c>
      <c r="C149" t="s">
        <v>463</v>
      </c>
      <c r="D149" t="s">
        <v>464</v>
      </c>
      <c r="E149" t="s">
        <v>136</v>
      </c>
      <c r="F149" t="s">
        <v>465</v>
      </c>
      <c r="G149" t="s">
        <v>466</v>
      </c>
      <c r="H149">
        <v>1</v>
      </c>
      <c r="I149" t="s">
        <v>467</v>
      </c>
      <c r="J149">
        <v>3</v>
      </c>
      <c r="K149" t="s">
        <v>472</v>
      </c>
      <c r="L149" t="s">
        <v>473</v>
      </c>
      <c r="M149" s="1">
        <f t="shared" si="2"/>
        <v>2</v>
      </c>
      <c r="N149" t="str" cm="1">
        <f t="array" ref="N149">_xlfn.SWITCH(M149,12,"Fix now",11,"Fix now",10,"Fix now",9,"Fix now",8,"Plan",7,"Plan",6,"Plan",5,"Plan",4,"Accept",3,"Accept",2,"Accept",1,"Accept",0,"Accept")</f>
        <v>Accept</v>
      </c>
    </row>
    <row r="150" spans="1:14" x14ac:dyDescent="0.3">
      <c r="A150" t="s">
        <v>401</v>
      </c>
      <c r="B150" t="s">
        <v>402</v>
      </c>
      <c r="C150" t="s">
        <v>463</v>
      </c>
      <c r="D150" t="s">
        <v>464</v>
      </c>
      <c r="E150" t="s">
        <v>136</v>
      </c>
      <c r="F150" t="s">
        <v>465</v>
      </c>
      <c r="G150" t="s">
        <v>466</v>
      </c>
      <c r="H150">
        <v>1</v>
      </c>
      <c r="I150" t="s">
        <v>467</v>
      </c>
      <c r="J150">
        <v>4</v>
      </c>
      <c r="K150" t="s">
        <v>474</v>
      </c>
      <c r="L150" t="s">
        <v>475</v>
      </c>
      <c r="M150" s="1">
        <f t="shared" si="2"/>
        <v>1</v>
      </c>
      <c r="N150" t="str" cm="1">
        <f t="array" ref="N150">_xlfn.SWITCH(M150,12,"Fix now",11,"Fix now",10,"Fix now",9,"Fix now",8,"Plan",7,"Plan",6,"Plan",5,"Plan",4,"Accept",3,"Accept",2,"Accept",1,"Accept",0,"Accept")</f>
        <v>Accept</v>
      </c>
    </row>
    <row r="151" spans="1:14" x14ac:dyDescent="0.3">
      <c r="A151" t="s">
        <v>401</v>
      </c>
      <c r="B151" t="s">
        <v>402</v>
      </c>
      <c r="C151" t="s">
        <v>463</v>
      </c>
      <c r="D151" t="s">
        <v>464</v>
      </c>
      <c r="E151" t="s">
        <v>136</v>
      </c>
      <c r="F151" t="s">
        <v>465</v>
      </c>
      <c r="G151" t="s">
        <v>466</v>
      </c>
      <c r="H151">
        <v>1</v>
      </c>
      <c r="I151" t="s">
        <v>467</v>
      </c>
      <c r="J151">
        <v>5</v>
      </c>
      <c r="K151" t="s">
        <v>476</v>
      </c>
      <c r="L151" t="s">
        <v>477</v>
      </c>
      <c r="M151" s="1">
        <f t="shared" si="2"/>
        <v>0</v>
      </c>
      <c r="N151" t="str" cm="1">
        <f t="array" ref="N151">_xlfn.SWITCH(M151,12,"Fix now",11,"Fix now",10,"Fix now",9,"Fix now",8,"Plan",7,"Plan",6,"Plan",5,"Plan",4,"Accept",3,"Accept",2,"Accept",1,"Accept",0,"Accept")</f>
        <v>Accept</v>
      </c>
    </row>
    <row r="152" spans="1:14" x14ac:dyDescent="0.3">
      <c r="A152" t="s">
        <v>478</v>
      </c>
      <c r="B152" t="s">
        <v>479</v>
      </c>
      <c r="C152" t="s">
        <v>480</v>
      </c>
      <c r="D152" t="s">
        <v>481</v>
      </c>
      <c r="E152" t="s">
        <v>98</v>
      </c>
      <c r="F152" t="s">
        <v>482</v>
      </c>
      <c r="G152" t="s">
        <v>483</v>
      </c>
      <c r="H152">
        <v>3</v>
      </c>
      <c r="I152" t="s">
        <v>484</v>
      </c>
      <c r="J152">
        <v>1</v>
      </c>
      <c r="K152" t="s">
        <v>485</v>
      </c>
      <c r="L152" t="s">
        <v>486</v>
      </c>
      <c r="M152" s="1">
        <f t="shared" si="2"/>
        <v>12</v>
      </c>
      <c r="N152" t="str" cm="1">
        <f t="array" ref="N152">_xlfn.SWITCH(M152,12,"Fix now",11,"Fix now",10,"Fix now",9,"Fix now",8,"Plan",7,"Plan",6,"Plan",5,"Plan",4,"Accept",3,"Accept",2,"Accept",1,"Accept",0,"Accept")</f>
        <v>Fix now</v>
      </c>
    </row>
    <row r="153" spans="1:14" x14ac:dyDescent="0.3">
      <c r="A153" t="s">
        <v>478</v>
      </c>
      <c r="B153" t="s">
        <v>479</v>
      </c>
      <c r="C153" t="s">
        <v>480</v>
      </c>
      <c r="D153" t="s">
        <v>481</v>
      </c>
      <c r="E153" t="s">
        <v>98</v>
      </c>
      <c r="F153" t="s">
        <v>482</v>
      </c>
      <c r="G153" t="s">
        <v>483</v>
      </c>
      <c r="H153">
        <v>3</v>
      </c>
      <c r="I153" t="s">
        <v>484</v>
      </c>
      <c r="J153">
        <v>2</v>
      </c>
      <c r="K153" t="s">
        <v>487</v>
      </c>
      <c r="L153" t="s">
        <v>488</v>
      </c>
      <c r="M153" s="1">
        <f t="shared" si="2"/>
        <v>9</v>
      </c>
      <c r="N153" t="str" cm="1">
        <f t="array" ref="N153">_xlfn.SWITCH(M153,12,"Fix now",11,"Fix now",10,"Fix now",9,"Fix now",8,"Plan",7,"Plan",6,"Plan",5,"Plan",4,"Accept",3,"Accept",2,"Accept",1,"Accept",0,"Accept")</f>
        <v>Fix now</v>
      </c>
    </row>
    <row r="154" spans="1:14" x14ac:dyDescent="0.3">
      <c r="A154" t="s">
        <v>478</v>
      </c>
      <c r="B154" t="s">
        <v>479</v>
      </c>
      <c r="C154" t="s">
        <v>480</v>
      </c>
      <c r="D154" t="s">
        <v>481</v>
      </c>
      <c r="E154" t="s">
        <v>98</v>
      </c>
      <c r="F154" t="s">
        <v>482</v>
      </c>
      <c r="G154" t="s">
        <v>483</v>
      </c>
      <c r="H154">
        <v>3</v>
      </c>
      <c r="I154" t="s">
        <v>484</v>
      </c>
      <c r="J154">
        <v>3</v>
      </c>
      <c r="K154" t="s">
        <v>489</v>
      </c>
      <c r="L154" t="s">
        <v>490</v>
      </c>
      <c r="M154" s="1">
        <f t="shared" si="2"/>
        <v>6</v>
      </c>
      <c r="N154" t="str" cm="1">
        <f t="array" ref="N154">_xlfn.SWITCH(M154,12,"Fix now",11,"Fix now",10,"Fix now",9,"Fix now",8,"Plan",7,"Plan",6,"Plan",5,"Plan",4,"Accept",3,"Accept",2,"Accept",1,"Accept",0,"Accept")</f>
        <v>Plan</v>
      </c>
    </row>
    <row r="155" spans="1:14" x14ac:dyDescent="0.3">
      <c r="A155" t="s">
        <v>478</v>
      </c>
      <c r="B155" t="s">
        <v>479</v>
      </c>
      <c r="C155" t="s">
        <v>480</v>
      </c>
      <c r="D155" t="s">
        <v>481</v>
      </c>
      <c r="E155" t="s">
        <v>98</v>
      </c>
      <c r="F155" t="s">
        <v>482</v>
      </c>
      <c r="G155" t="s">
        <v>483</v>
      </c>
      <c r="H155">
        <v>3</v>
      </c>
      <c r="I155" t="s">
        <v>484</v>
      </c>
      <c r="J155">
        <v>4</v>
      </c>
      <c r="K155" t="s">
        <v>491</v>
      </c>
      <c r="L155" t="s">
        <v>492</v>
      </c>
      <c r="M155" s="1">
        <f t="shared" si="2"/>
        <v>3</v>
      </c>
      <c r="N155" t="str" cm="1">
        <f t="array" ref="N155">_xlfn.SWITCH(M155,12,"Fix now",11,"Fix now",10,"Fix now",9,"Fix now",8,"Plan",7,"Plan",6,"Plan",5,"Plan",4,"Accept",3,"Accept",2,"Accept",1,"Accept",0,"Accept")</f>
        <v>Accept</v>
      </c>
    </row>
    <row r="156" spans="1:14" x14ac:dyDescent="0.3">
      <c r="A156" t="s">
        <v>478</v>
      </c>
      <c r="B156" t="s">
        <v>479</v>
      </c>
      <c r="C156" t="s">
        <v>480</v>
      </c>
      <c r="D156" t="s">
        <v>481</v>
      </c>
      <c r="E156" t="s">
        <v>98</v>
      </c>
      <c r="F156" t="s">
        <v>482</v>
      </c>
      <c r="G156" t="s">
        <v>483</v>
      </c>
      <c r="H156">
        <v>3</v>
      </c>
      <c r="I156" t="s">
        <v>484</v>
      </c>
      <c r="J156">
        <v>5</v>
      </c>
      <c r="K156" t="s">
        <v>493</v>
      </c>
      <c r="L156" t="s">
        <v>494</v>
      </c>
      <c r="M156" s="1">
        <f t="shared" si="2"/>
        <v>0</v>
      </c>
      <c r="N156" t="str" cm="1">
        <f t="array" ref="N156">_xlfn.SWITCH(M156,12,"Fix now",11,"Fix now",10,"Fix now",9,"Fix now",8,"Plan",7,"Plan",6,"Plan",5,"Plan",4,"Accept",3,"Accept",2,"Accept",1,"Accept",0,"Accept")</f>
        <v>Accept</v>
      </c>
    </row>
    <row r="157" spans="1:14" x14ac:dyDescent="0.3">
      <c r="A157" t="s">
        <v>478</v>
      </c>
      <c r="B157" t="s">
        <v>479</v>
      </c>
      <c r="C157" t="s">
        <v>495</v>
      </c>
      <c r="D157" t="s">
        <v>496</v>
      </c>
      <c r="E157" t="s">
        <v>98</v>
      </c>
      <c r="F157" t="s">
        <v>497</v>
      </c>
      <c r="G157" t="s">
        <v>498</v>
      </c>
      <c r="H157">
        <v>2</v>
      </c>
      <c r="I157" t="s">
        <v>499</v>
      </c>
      <c r="J157">
        <v>1</v>
      </c>
      <c r="K157" t="s">
        <v>500</v>
      </c>
      <c r="L157" t="s">
        <v>501</v>
      </c>
      <c r="M157" s="1">
        <f t="shared" si="2"/>
        <v>8</v>
      </c>
      <c r="N157" t="str" cm="1">
        <f t="array" ref="N157">_xlfn.SWITCH(M157,12,"Fix now",11,"Fix now",10,"Fix now",9,"Fix now",8,"Plan",7,"Plan",6,"Plan",5,"Plan",4,"Accept",3,"Accept",2,"Accept",1,"Accept",0,"Accept")</f>
        <v>Plan</v>
      </c>
    </row>
    <row r="158" spans="1:14" x14ac:dyDescent="0.3">
      <c r="A158" t="s">
        <v>478</v>
      </c>
      <c r="B158" t="s">
        <v>479</v>
      </c>
      <c r="C158" t="s">
        <v>495</v>
      </c>
      <c r="D158" t="s">
        <v>496</v>
      </c>
      <c r="E158" t="s">
        <v>98</v>
      </c>
      <c r="F158" t="s">
        <v>497</v>
      </c>
      <c r="G158" t="s">
        <v>498</v>
      </c>
      <c r="H158">
        <v>2</v>
      </c>
      <c r="I158" t="s">
        <v>499</v>
      </c>
      <c r="J158">
        <v>2</v>
      </c>
      <c r="K158" t="s">
        <v>502</v>
      </c>
      <c r="L158" t="s">
        <v>503</v>
      </c>
      <c r="M158" s="1">
        <f t="shared" si="2"/>
        <v>6</v>
      </c>
      <c r="N158" t="str" cm="1">
        <f t="array" ref="N158">_xlfn.SWITCH(M158,12,"Fix now",11,"Fix now",10,"Fix now",9,"Fix now",8,"Plan",7,"Plan",6,"Plan",5,"Plan",4,"Accept",3,"Accept",2,"Accept",1,"Accept",0,"Accept")</f>
        <v>Plan</v>
      </c>
    </row>
    <row r="159" spans="1:14" x14ac:dyDescent="0.3">
      <c r="A159" t="s">
        <v>478</v>
      </c>
      <c r="B159" t="s">
        <v>479</v>
      </c>
      <c r="C159" t="s">
        <v>495</v>
      </c>
      <c r="D159" t="s">
        <v>496</v>
      </c>
      <c r="E159" t="s">
        <v>98</v>
      </c>
      <c r="F159" t="s">
        <v>497</v>
      </c>
      <c r="G159" t="s">
        <v>498</v>
      </c>
      <c r="H159">
        <v>2</v>
      </c>
      <c r="I159" t="s">
        <v>499</v>
      </c>
      <c r="J159">
        <v>3</v>
      </c>
      <c r="K159" t="s">
        <v>504</v>
      </c>
      <c r="L159" t="s">
        <v>505</v>
      </c>
      <c r="M159" s="1">
        <f t="shared" si="2"/>
        <v>4</v>
      </c>
      <c r="N159" t="str" cm="1">
        <f t="array" ref="N159">_xlfn.SWITCH(M159,12,"Fix now",11,"Fix now",10,"Fix now",9,"Fix now",8,"Plan",7,"Plan",6,"Plan",5,"Plan",4,"Accept",3,"Accept",2,"Accept",1,"Accept",0,"Accept")</f>
        <v>Accept</v>
      </c>
    </row>
    <row r="160" spans="1:14" x14ac:dyDescent="0.3">
      <c r="A160" t="s">
        <v>478</v>
      </c>
      <c r="B160" t="s">
        <v>479</v>
      </c>
      <c r="C160" t="s">
        <v>495</v>
      </c>
      <c r="D160" t="s">
        <v>496</v>
      </c>
      <c r="E160" t="s">
        <v>98</v>
      </c>
      <c r="F160" t="s">
        <v>497</v>
      </c>
      <c r="G160" t="s">
        <v>498</v>
      </c>
      <c r="H160">
        <v>2</v>
      </c>
      <c r="I160" t="s">
        <v>499</v>
      </c>
      <c r="J160">
        <v>4</v>
      </c>
      <c r="K160" t="s">
        <v>506</v>
      </c>
      <c r="L160" t="s">
        <v>507</v>
      </c>
      <c r="M160" s="1">
        <f t="shared" si="2"/>
        <v>2</v>
      </c>
      <c r="N160" t="str" cm="1">
        <f t="array" ref="N160">_xlfn.SWITCH(M160,12,"Fix now",11,"Fix now",10,"Fix now",9,"Fix now",8,"Plan",7,"Plan",6,"Plan",5,"Plan",4,"Accept",3,"Accept",2,"Accept",1,"Accept",0,"Accept")</f>
        <v>Accept</v>
      </c>
    </row>
    <row r="161" spans="1:14" x14ac:dyDescent="0.3">
      <c r="A161" t="s">
        <v>478</v>
      </c>
      <c r="B161" t="s">
        <v>479</v>
      </c>
      <c r="C161" t="s">
        <v>495</v>
      </c>
      <c r="D161" t="s">
        <v>496</v>
      </c>
      <c r="E161" t="s">
        <v>98</v>
      </c>
      <c r="F161" t="s">
        <v>497</v>
      </c>
      <c r="G161" t="s">
        <v>498</v>
      </c>
      <c r="H161">
        <v>2</v>
      </c>
      <c r="I161" t="s">
        <v>499</v>
      </c>
      <c r="J161">
        <v>5</v>
      </c>
      <c r="K161" t="s">
        <v>508</v>
      </c>
      <c r="L161" t="s">
        <v>509</v>
      </c>
      <c r="M161" s="1">
        <f t="shared" si="2"/>
        <v>0</v>
      </c>
      <c r="N161" t="str" cm="1">
        <f t="array" ref="N161">_xlfn.SWITCH(M161,12,"Fix now",11,"Fix now",10,"Fix now",9,"Fix now",8,"Plan",7,"Plan",6,"Plan",5,"Plan",4,"Accept",3,"Accept",2,"Accept",1,"Accept",0,"Accept")</f>
        <v>Accept</v>
      </c>
    </row>
    <row r="162" spans="1:14" x14ac:dyDescent="0.3">
      <c r="A162" t="s">
        <v>478</v>
      </c>
      <c r="B162" t="s">
        <v>479</v>
      </c>
      <c r="C162" t="s">
        <v>510</v>
      </c>
      <c r="D162" t="s">
        <v>511</v>
      </c>
      <c r="E162" t="s">
        <v>98</v>
      </c>
      <c r="F162" t="s">
        <v>512</v>
      </c>
      <c r="G162" t="s">
        <v>513</v>
      </c>
      <c r="H162">
        <v>3</v>
      </c>
      <c r="I162" t="s">
        <v>514</v>
      </c>
      <c r="J162">
        <v>1</v>
      </c>
      <c r="K162" t="s">
        <v>515</v>
      </c>
      <c r="L162" t="s">
        <v>516</v>
      </c>
      <c r="M162" s="1">
        <f t="shared" si="2"/>
        <v>12</v>
      </c>
      <c r="N162" t="str" cm="1">
        <f t="array" ref="N162">_xlfn.SWITCH(M162,12,"Fix now",11,"Fix now",10,"Fix now",9,"Fix now",8,"Plan",7,"Plan",6,"Plan",5,"Plan",4,"Accept",3,"Accept",2,"Accept",1,"Accept",0,"Accept")</f>
        <v>Fix now</v>
      </c>
    </row>
    <row r="163" spans="1:14" x14ac:dyDescent="0.3">
      <c r="A163" t="s">
        <v>478</v>
      </c>
      <c r="B163" t="s">
        <v>479</v>
      </c>
      <c r="C163" t="s">
        <v>510</v>
      </c>
      <c r="D163" t="s">
        <v>511</v>
      </c>
      <c r="E163" t="s">
        <v>98</v>
      </c>
      <c r="F163" t="s">
        <v>512</v>
      </c>
      <c r="G163" t="s">
        <v>513</v>
      </c>
      <c r="H163">
        <v>3</v>
      </c>
      <c r="I163" t="s">
        <v>514</v>
      </c>
      <c r="J163">
        <v>2</v>
      </c>
      <c r="K163" t="s">
        <v>517</v>
      </c>
      <c r="L163" t="s">
        <v>518</v>
      </c>
      <c r="M163" s="1">
        <f t="shared" si="2"/>
        <v>9</v>
      </c>
      <c r="N163" t="str" cm="1">
        <f t="array" ref="N163">_xlfn.SWITCH(M163,12,"Fix now",11,"Fix now",10,"Fix now",9,"Fix now",8,"Plan",7,"Plan",6,"Plan",5,"Plan",4,"Accept",3,"Accept",2,"Accept",1,"Accept",0,"Accept")</f>
        <v>Fix now</v>
      </c>
    </row>
    <row r="164" spans="1:14" x14ac:dyDescent="0.3">
      <c r="A164" t="s">
        <v>478</v>
      </c>
      <c r="B164" t="s">
        <v>479</v>
      </c>
      <c r="C164" t="s">
        <v>510</v>
      </c>
      <c r="D164" t="s">
        <v>511</v>
      </c>
      <c r="E164" t="s">
        <v>98</v>
      </c>
      <c r="F164" t="s">
        <v>512</v>
      </c>
      <c r="G164" t="s">
        <v>513</v>
      </c>
      <c r="H164">
        <v>3</v>
      </c>
      <c r="I164" t="s">
        <v>514</v>
      </c>
      <c r="J164">
        <v>3</v>
      </c>
      <c r="K164" t="s">
        <v>519</v>
      </c>
      <c r="L164" t="s">
        <v>520</v>
      </c>
      <c r="M164" s="1">
        <f t="shared" si="2"/>
        <v>6</v>
      </c>
      <c r="N164" t="str" cm="1">
        <f t="array" ref="N164">_xlfn.SWITCH(M164,12,"Fix now",11,"Fix now",10,"Fix now",9,"Fix now",8,"Plan",7,"Plan",6,"Plan",5,"Plan",4,"Accept",3,"Accept",2,"Accept",1,"Accept",0,"Accept")</f>
        <v>Plan</v>
      </c>
    </row>
    <row r="165" spans="1:14" x14ac:dyDescent="0.3">
      <c r="A165" t="s">
        <v>478</v>
      </c>
      <c r="B165" t="s">
        <v>479</v>
      </c>
      <c r="C165" t="s">
        <v>510</v>
      </c>
      <c r="D165" t="s">
        <v>511</v>
      </c>
      <c r="E165" t="s">
        <v>98</v>
      </c>
      <c r="F165" t="s">
        <v>512</v>
      </c>
      <c r="G165" t="s">
        <v>513</v>
      </c>
      <c r="H165">
        <v>3</v>
      </c>
      <c r="I165" t="s">
        <v>514</v>
      </c>
      <c r="J165">
        <v>4</v>
      </c>
      <c r="K165" t="s">
        <v>521</v>
      </c>
      <c r="L165" t="s">
        <v>522</v>
      </c>
      <c r="M165" s="1">
        <f t="shared" si="2"/>
        <v>3</v>
      </c>
      <c r="N165" t="str" cm="1">
        <f t="array" ref="N165">_xlfn.SWITCH(M165,12,"Fix now",11,"Fix now",10,"Fix now",9,"Fix now",8,"Plan",7,"Plan",6,"Plan",5,"Plan",4,"Accept",3,"Accept",2,"Accept",1,"Accept",0,"Accept")</f>
        <v>Accept</v>
      </c>
    </row>
    <row r="166" spans="1:14" x14ac:dyDescent="0.3">
      <c r="A166" t="s">
        <v>478</v>
      </c>
      <c r="B166" t="s">
        <v>479</v>
      </c>
      <c r="C166" t="s">
        <v>510</v>
      </c>
      <c r="D166" t="s">
        <v>511</v>
      </c>
      <c r="E166" t="s">
        <v>98</v>
      </c>
      <c r="F166" t="s">
        <v>512</v>
      </c>
      <c r="G166" t="s">
        <v>513</v>
      </c>
      <c r="H166">
        <v>3</v>
      </c>
      <c r="I166" t="s">
        <v>514</v>
      </c>
      <c r="J166">
        <v>5</v>
      </c>
      <c r="K166" t="s">
        <v>523</v>
      </c>
      <c r="L166" t="s">
        <v>524</v>
      </c>
      <c r="M166" s="1">
        <f t="shared" si="2"/>
        <v>0</v>
      </c>
      <c r="N166" t="str" cm="1">
        <f t="array" ref="N166">_xlfn.SWITCH(M166,12,"Fix now",11,"Fix now",10,"Fix now",9,"Fix now",8,"Plan",7,"Plan",6,"Plan",5,"Plan",4,"Accept",3,"Accept",2,"Accept",1,"Accept",0,"Accept")</f>
        <v>Accept</v>
      </c>
    </row>
    <row r="167" spans="1:14" x14ac:dyDescent="0.3">
      <c r="A167" t="s">
        <v>478</v>
      </c>
      <c r="B167" t="s">
        <v>479</v>
      </c>
      <c r="C167" t="s">
        <v>525</v>
      </c>
      <c r="D167" t="s">
        <v>526</v>
      </c>
      <c r="E167" t="s">
        <v>98</v>
      </c>
      <c r="F167" t="s">
        <v>527</v>
      </c>
      <c r="G167" t="s">
        <v>528</v>
      </c>
      <c r="H167">
        <v>2</v>
      </c>
      <c r="I167" t="s">
        <v>529</v>
      </c>
      <c r="J167">
        <v>1</v>
      </c>
      <c r="K167" t="s">
        <v>530</v>
      </c>
      <c r="L167" t="s">
        <v>531</v>
      </c>
      <c r="M167" s="1">
        <f t="shared" si="2"/>
        <v>8</v>
      </c>
      <c r="N167" t="str" cm="1">
        <f t="array" ref="N167">_xlfn.SWITCH(M167,12,"Fix now",11,"Fix now",10,"Fix now",9,"Fix now",8,"Plan",7,"Plan",6,"Plan",5,"Plan",4,"Accept",3,"Accept",2,"Accept",1,"Accept",0,"Accept")</f>
        <v>Plan</v>
      </c>
    </row>
    <row r="168" spans="1:14" x14ac:dyDescent="0.3">
      <c r="A168" t="s">
        <v>478</v>
      </c>
      <c r="B168" t="s">
        <v>479</v>
      </c>
      <c r="C168" t="s">
        <v>525</v>
      </c>
      <c r="D168" t="s">
        <v>526</v>
      </c>
      <c r="E168" t="s">
        <v>98</v>
      </c>
      <c r="F168" t="s">
        <v>527</v>
      </c>
      <c r="G168" t="s">
        <v>528</v>
      </c>
      <c r="H168">
        <v>2</v>
      </c>
      <c r="I168" t="s">
        <v>529</v>
      </c>
      <c r="J168">
        <v>2</v>
      </c>
      <c r="K168" t="s">
        <v>532</v>
      </c>
      <c r="L168" t="s">
        <v>533</v>
      </c>
      <c r="M168" s="1">
        <f t="shared" si="2"/>
        <v>6</v>
      </c>
      <c r="N168" t="str" cm="1">
        <f t="array" ref="N168">_xlfn.SWITCH(M168,12,"Fix now",11,"Fix now",10,"Fix now",9,"Fix now",8,"Plan",7,"Plan",6,"Plan",5,"Plan",4,"Accept",3,"Accept",2,"Accept",1,"Accept",0,"Accept")</f>
        <v>Plan</v>
      </c>
    </row>
    <row r="169" spans="1:14" x14ac:dyDescent="0.3">
      <c r="A169" t="s">
        <v>478</v>
      </c>
      <c r="B169" t="s">
        <v>479</v>
      </c>
      <c r="C169" t="s">
        <v>525</v>
      </c>
      <c r="D169" t="s">
        <v>526</v>
      </c>
      <c r="E169" t="s">
        <v>98</v>
      </c>
      <c r="F169" t="s">
        <v>527</v>
      </c>
      <c r="G169" t="s">
        <v>528</v>
      </c>
      <c r="H169">
        <v>2</v>
      </c>
      <c r="I169" t="s">
        <v>529</v>
      </c>
      <c r="J169">
        <v>3</v>
      </c>
      <c r="K169" t="s">
        <v>534</v>
      </c>
      <c r="L169" t="s">
        <v>535</v>
      </c>
      <c r="M169" s="1">
        <f t="shared" si="2"/>
        <v>4</v>
      </c>
      <c r="N169" t="str" cm="1">
        <f t="array" ref="N169">_xlfn.SWITCH(M169,12,"Fix now",11,"Fix now",10,"Fix now",9,"Fix now",8,"Plan",7,"Plan",6,"Plan",5,"Plan",4,"Accept",3,"Accept",2,"Accept",1,"Accept",0,"Accept")</f>
        <v>Accept</v>
      </c>
    </row>
    <row r="170" spans="1:14" x14ac:dyDescent="0.3">
      <c r="A170" t="s">
        <v>478</v>
      </c>
      <c r="B170" t="s">
        <v>479</v>
      </c>
      <c r="C170" t="s">
        <v>525</v>
      </c>
      <c r="D170" t="s">
        <v>526</v>
      </c>
      <c r="E170" t="s">
        <v>98</v>
      </c>
      <c r="F170" t="s">
        <v>527</v>
      </c>
      <c r="G170" t="s">
        <v>528</v>
      </c>
      <c r="H170">
        <v>2</v>
      </c>
      <c r="I170" t="s">
        <v>529</v>
      </c>
      <c r="J170">
        <v>4</v>
      </c>
      <c r="K170" t="s">
        <v>536</v>
      </c>
      <c r="L170" t="s">
        <v>537</v>
      </c>
      <c r="M170" s="1">
        <f t="shared" si="2"/>
        <v>2</v>
      </c>
      <c r="N170" t="str" cm="1">
        <f t="array" ref="N170">_xlfn.SWITCH(M170,12,"Fix now",11,"Fix now",10,"Fix now",9,"Fix now",8,"Plan",7,"Plan",6,"Plan",5,"Plan",4,"Accept",3,"Accept",2,"Accept",1,"Accept",0,"Accept")</f>
        <v>Accept</v>
      </c>
    </row>
    <row r="171" spans="1:14" x14ac:dyDescent="0.3">
      <c r="A171" t="s">
        <v>478</v>
      </c>
      <c r="B171" t="s">
        <v>479</v>
      </c>
      <c r="C171" t="s">
        <v>525</v>
      </c>
      <c r="D171" t="s">
        <v>526</v>
      </c>
      <c r="E171" t="s">
        <v>98</v>
      </c>
      <c r="F171" t="s">
        <v>527</v>
      </c>
      <c r="G171" t="s">
        <v>528</v>
      </c>
      <c r="H171">
        <v>2</v>
      </c>
      <c r="I171" t="s">
        <v>529</v>
      </c>
      <c r="J171">
        <v>5</v>
      </c>
      <c r="K171" t="s">
        <v>538</v>
      </c>
      <c r="L171" t="s">
        <v>539</v>
      </c>
      <c r="M171" s="1">
        <f t="shared" si="2"/>
        <v>0</v>
      </c>
      <c r="N171" t="str" cm="1">
        <f t="array" ref="N171">_xlfn.SWITCH(M171,12,"Fix now",11,"Fix now",10,"Fix now",9,"Fix now",8,"Plan",7,"Plan",6,"Plan",5,"Plan",4,"Accept",3,"Accept",2,"Accept",1,"Accept",0,"Accept")</f>
        <v>Accept</v>
      </c>
    </row>
    <row r="172" spans="1:14" x14ac:dyDescent="0.3">
      <c r="A172" t="s">
        <v>478</v>
      </c>
      <c r="B172" t="s">
        <v>479</v>
      </c>
      <c r="C172" t="s">
        <v>540</v>
      </c>
      <c r="D172" t="s">
        <v>541</v>
      </c>
      <c r="E172" t="s">
        <v>98</v>
      </c>
      <c r="F172" t="s">
        <v>542</v>
      </c>
      <c r="G172" t="s">
        <v>543</v>
      </c>
      <c r="H172">
        <v>1</v>
      </c>
      <c r="I172" t="s">
        <v>544</v>
      </c>
      <c r="J172">
        <v>1</v>
      </c>
      <c r="K172" t="s">
        <v>545</v>
      </c>
      <c r="L172" t="s">
        <v>546</v>
      </c>
      <c r="M172" s="1">
        <f t="shared" si="2"/>
        <v>4</v>
      </c>
      <c r="N172" t="str" cm="1">
        <f t="array" ref="N172">_xlfn.SWITCH(M172,12,"Fix now",11,"Fix now",10,"Fix now",9,"Fix now",8,"Plan",7,"Plan",6,"Plan",5,"Plan",4,"Accept",3,"Accept",2,"Accept",1,"Accept",0,"Accept")</f>
        <v>Accept</v>
      </c>
    </row>
    <row r="173" spans="1:14" x14ac:dyDescent="0.3">
      <c r="A173" t="s">
        <v>478</v>
      </c>
      <c r="B173" t="s">
        <v>479</v>
      </c>
      <c r="C173" t="s">
        <v>540</v>
      </c>
      <c r="D173" t="s">
        <v>541</v>
      </c>
      <c r="E173" t="s">
        <v>98</v>
      </c>
      <c r="F173" t="s">
        <v>542</v>
      </c>
      <c r="G173" t="s">
        <v>543</v>
      </c>
      <c r="H173">
        <v>1</v>
      </c>
      <c r="I173" t="s">
        <v>544</v>
      </c>
      <c r="J173">
        <v>2</v>
      </c>
      <c r="K173" t="s">
        <v>547</v>
      </c>
      <c r="L173" t="s">
        <v>548</v>
      </c>
      <c r="M173" s="1">
        <f t="shared" si="2"/>
        <v>3</v>
      </c>
      <c r="N173" t="str" cm="1">
        <f t="array" ref="N173">_xlfn.SWITCH(M173,12,"Fix now",11,"Fix now",10,"Fix now",9,"Fix now",8,"Plan",7,"Plan",6,"Plan",5,"Plan",4,"Accept",3,"Accept",2,"Accept",1,"Accept",0,"Accept")</f>
        <v>Accept</v>
      </c>
    </row>
    <row r="174" spans="1:14" x14ac:dyDescent="0.3">
      <c r="A174" t="s">
        <v>478</v>
      </c>
      <c r="B174" t="s">
        <v>479</v>
      </c>
      <c r="C174" t="s">
        <v>540</v>
      </c>
      <c r="D174" t="s">
        <v>541</v>
      </c>
      <c r="E174" t="s">
        <v>98</v>
      </c>
      <c r="F174" t="s">
        <v>542</v>
      </c>
      <c r="G174" t="s">
        <v>543</v>
      </c>
      <c r="H174">
        <v>1</v>
      </c>
      <c r="I174" t="s">
        <v>544</v>
      </c>
      <c r="J174">
        <v>3</v>
      </c>
      <c r="K174" t="s">
        <v>549</v>
      </c>
      <c r="L174" t="s">
        <v>550</v>
      </c>
      <c r="M174" s="1">
        <f t="shared" si="2"/>
        <v>2</v>
      </c>
      <c r="N174" t="str" cm="1">
        <f t="array" ref="N174">_xlfn.SWITCH(M174,12,"Fix now",11,"Fix now",10,"Fix now",9,"Fix now",8,"Plan",7,"Plan",6,"Plan",5,"Plan",4,"Accept",3,"Accept",2,"Accept",1,"Accept",0,"Accept")</f>
        <v>Accept</v>
      </c>
    </row>
    <row r="175" spans="1:14" x14ac:dyDescent="0.3">
      <c r="A175" t="s">
        <v>478</v>
      </c>
      <c r="B175" t="s">
        <v>479</v>
      </c>
      <c r="C175" t="s">
        <v>540</v>
      </c>
      <c r="D175" t="s">
        <v>541</v>
      </c>
      <c r="E175" t="s">
        <v>98</v>
      </c>
      <c r="F175" t="s">
        <v>542</v>
      </c>
      <c r="G175" t="s">
        <v>543</v>
      </c>
      <c r="H175">
        <v>1</v>
      </c>
      <c r="I175" t="s">
        <v>544</v>
      </c>
      <c r="J175">
        <v>4</v>
      </c>
      <c r="K175" t="s">
        <v>551</v>
      </c>
      <c r="L175" t="s">
        <v>552</v>
      </c>
      <c r="M175" s="1">
        <f t="shared" si="2"/>
        <v>1</v>
      </c>
      <c r="N175" t="str" cm="1">
        <f t="array" ref="N175">_xlfn.SWITCH(M175,12,"Fix now",11,"Fix now",10,"Fix now",9,"Fix now",8,"Plan",7,"Plan",6,"Plan",5,"Plan",4,"Accept",3,"Accept",2,"Accept",1,"Accept",0,"Accept")</f>
        <v>Accept</v>
      </c>
    </row>
    <row r="176" spans="1:14" x14ac:dyDescent="0.3">
      <c r="A176" t="s">
        <v>478</v>
      </c>
      <c r="B176" t="s">
        <v>479</v>
      </c>
      <c r="C176" t="s">
        <v>540</v>
      </c>
      <c r="D176" t="s">
        <v>541</v>
      </c>
      <c r="E176" t="s">
        <v>98</v>
      </c>
      <c r="F176" t="s">
        <v>542</v>
      </c>
      <c r="G176" t="s">
        <v>543</v>
      </c>
      <c r="H176">
        <v>1</v>
      </c>
      <c r="I176" t="s">
        <v>544</v>
      </c>
      <c r="J176">
        <v>5</v>
      </c>
      <c r="K176" t="s">
        <v>553</v>
      </c>
      <c r="L176" t="s">
        <v>554</v>
      </c>
      <c r="M176" s="1">
        <f t="shared" si="2"/>
        <v>0</v>
      </c>
      <c r="N176" t="str" cm="1">
        <f t="array" ref="N176">_xlfn.SWITCH(M176,12,"Fix now",11,"Fix now",10,"Fix now",9,"Fix now",8,"Plan",7,"Plan",6,"Plan",5,"Plan",4,"Accept",3,"Accept",2,"Accept",1,"Accept",0,"Accept")</f>
        <v>Accept</v>
      </c>
    </row>
    <row r="177" spans="1:14" x14ac:dyDescent="0.3">
      <c r="A177" t="s">
        <v>555</v>
      </c>
      <c r="B177" t="s">
        <v>556</v>
      </c>
      <c r="C177" t="s">
        <v>557</v>
      </c>
      <c r="D177" t="s">
        <v>119</v>
      </c>
      <c r="E177" t="s">
        <v>136</v>
      </c>
      <c r="F177" t="s">
        <v>558</v>
      </c>
      <c r="G177" t="s">
        <v>559</v>
      </c>
      <c r="H177">
        <v>3</v>
      </c>
      <c r="I177" t="s">
        <v>560</v>
      </c>
      <c r="J177">
        <v>1</v>
      </c>
      <c r="K177" t="s">
        <v>561</v>
      </c>
      <c r="L177" t="s">
        <v>562</v>
      </c>
      <c r="M177" s="1">
        <f t="shared" si="2"/>
        <v>12</v>
      </c>
      <c r="N177" t="str" cm="1">
        <f t="array" ref="N177">_xlfn.SWITCH(M177,12,"Fix now",11,"Fix now",10,"Fix now",9,"Fix now",8,"Plan",7,"Plan",6,"Plan",5,"Plan",4,"Accept",3,"Accept",2,"Accept",1,"Accept",0,"Accept")</f>
        <v>Fix now</v>
      </c>
    </row>
    <row r="178" spans="1:14" x14ac:dyDescent="0.3">
      <c r="A178" t="s">
        <v>555</v>
      </c>
      <c r="B178" t="s">
        <v>556</v>
      </c>
      <c r="C178" t="s">
        <v>557</v>
      </c>
      <c r="D178" t="s">
        <v>119</v>
      </c>
      <c r="E178" t="s">
        <v>136</v>
      </c>
      <c r="F178" t="s">
        <v>558</v>
      </c>
      <c r="G178" t="s">
        <v>559</v>
      </c>
      <c r="H178">
        <v>3</v>
      </c>
      <c r="I178" t="s">
        <v>560</v>
      </c>
      <c r="J178">
        <v>2</v>
      </c>
      <c r="K178" t="s">
        <v>563</v>
      </c>
      <c r="L178" t="s">
        <v>564</v>
      </c>
      <c r="M178" s="1">
        <f t="shared" si="2"/>
        <v>9</v>
      </c>
      <c r="N178" t="str" cm="1">
        <f t="array" ref="N178">_xlfn.SWITCH(M178,12,"Fix now",11,"Fix now",10,"Fix now",9,"Fix now",8,"Plan",7,"Plan",6,"Plan",5,"Plan",4,"Accept",3,"Accept",2,"Accept",1,"Accept",0,"Accept")</f>
        <v>Fix now</v>
      </c>
    </row>
    <row r="179" spans="1:14" x14ac:dyDescent="0.3">
      <c r="A179" t="s">
        <v>555</v>
      </c>
      <c r="B179" t="s">
        <v>556</v>
      </c>
      <c r="C179" t="s">
        <v>557</v>
      </c>
      <c r="D179" t="s">
        <v>119</v>
      </c>
      <c r="E179" t="s">
        <v>136</v>
      </c>
      <c r="F179" t="s">
        <v>558</v>
      </c>
      <c r="G179" t="s">
        <v>559</v>
      </c>
      <c r="H179">
        <v>3</v>
      </c>
      <c r="I179" t="s">
        <v>560</v>
      </c>
      <c r="J179">
        <v>3</v>
      </c>
      <c r="K179" t="s">
        <v>565</v>
      </c>
      <c r="L179" t="s">
        <v>566</v>
      </c>
      <c r="M179" s="1">
        <f t="shared" si="2"/>
        <v>6</v>
      </c>
      <c r="N179" t="str" cm="1">
        <f t="array" ref="N179">_xlfn.SWITCH(M179,12,"Fix now",11,"Fix now",10,"Fix now",9,"Fix now",8,"Plan",7,"Plan",6,"Plan",5,"Plan",4,"Accept",3,"Accept",2,"Accept",1,"Accept",0,"Accept")</f>
        <v>Plan</v>
      </c>
    </row>
    <row r="180" spans="1:14" x14ac:dyDescent="0.3">
      <c r="A180" t="s">
        <v>555</v>
      </c>
      <c r="B180" t="s">
        <v>556</v>
      </c>
      <c r="C180" t="s">
        <v>557</v>
      </c>
      <c r="D180" t="s">
        <v>119</v>
      </c>
      <c r="E180" t="s">
        <v>136</v>
      </c>
      <c r="F180" t="s">
        <v>558</v>
      </c>
      <c r="G180" t="s">
        <v>559</v>
      </c>
      <c r="H180">
        <v>3</v>
      </c>
      <c r="I180" t="s">
        <v>560</v>
      </c>
      <c r="J180">
        <v>4</v>
      </c>
      <c r="K180" t="s">
        <v>567</v>
      </c>
      <c r="L180" t="s">
        <v>568</v>
      </c>
      <c r="M180" s="1">
        <f t="shared" si="2"/>
        <v>3</v>
      </c>
      <c r="N180" t="str" cm="1">
        <f t="array" ref="N180">_xlfn.SWITCH(M180,12,"Fix now",11,"Fix now",10,"Fix now",9,"Fix now",8,"Plan",7,"Plan",6,"Plan",5,"Plan",4,"Accept",3,"Accept",2,"Accept",1,"Accept",0,"Accept")</f>
        <v>Accept</v>
      </c>
    </row>
    <row r="181" spans="1:14" x14ac:dyDescent="0.3">
      <c r="A181" t="s">
        <v>555</v>
      </c>
      <c r="B181" t="s">
        <v>556</v>
      </c>
      <c r="C181" t="s">
        <v>557</v>
      </c>
      <c r="D181" t="s">
        <v>119</v>
      </c>
      <c r="E181" t="s">
        <v>136</v>
      </c>
      <c r="F181" t="s">
        <v>558</v>
      </c>
      <c r="G181" t="s">
        <v>559</v>
      </c>
      <c r="H181">
        <v>3</v>
      </c>
      <c r="I181" t="s">
        <v>560</v>
      </c>
      <c r="J181">
        <v>5</v>
      </c>
      <c r="K181" t="s">
        <v>569</v>
      </c>
      <c r="L181" t="s">
        <v>70</v>
      </c>
      <c r="M181" s="1">
        <f t="shared" si="2"/>
        <v>0</v>
      </c>
      <c r="N181" t="str" cm="1">
        <f t="array" ref="N181">_xlfn.SWITCH(M181,12,"Fix now",11,"Fix now",10,"Fix now",9,"Fix now",8,"Plan",7,"Plan",6,"Plan",5,"Plan",4,"Accept",3,"Accept",2,"Accept",1,"Accept",0,"Accept")</f>
        <v>Accept</v>
      </c>
    </row>
    <row r="182" spans="1:14" x14ac:dyDescent="0.3">
      <c r="A182" t="s">
        <v>555</v>
      </c>
      <c r="B182" t="s">
        <v>556</v>
      </c>
      <c r="C182" t="s">
        <v>570</v>
      </c>
      <c r="D182" t="s">
        <v>571</v>
      </c>
      <c r="E182" t="s">
        <v>136</v>
      </c>
      <c r="F182" t="s">
        <v>572</v>
      </c>
      <c r="G182" t="s">
        <v>573</v>
      </c>
      <c r="H182">
        <v>3</v>
      </c>
      <c r="I182" t="s">
        <v>574</v>
      </c>
      <c r="J182">
        <v>1</v>
      </c>
      <c r="K182" t="s">
        <v>575</v>
      </c>
      <c r="L182" t="s">
        <v>576</v>
      </c>
      <c r="M182" s="1">
        <f t="shared" si="2"/>
        <v>12</v>
      </c>
      <c r="N182" t="str" cm="1">
        <f t="array" ref="N182">_xlfn.SWITCH(M182,12,"Fix now",11,"Fix now",10,"Fix now",9,"Fix now",8,"Plan",7,"Plan",6,"Plan",5,"Plan",4,"Accept",3,"Accept",2,"Accept",1,"Accept",0,"Accept")</f>
        <v>Fix now</v>
      </c>
    </row>
    <row r="183" spans="1:14" x14ac:dyDescent="0.3">
      <c r="A183" t="s">
        <v>555</v>
      </c>
      <c r="B183" t="s">
        <v>556</v>
      </c>
      <c r="C183" t="s">
        <v>570</v>
      </c>
      <c r="D183" t="s">
        <v>571</v>
      </c>
      <c r="E183" t="s">
        <v>136</v>
      </c>
      <c r="F183" t="s">
        <v>572</v>
      </c>
      <c r="G183" t="s">
        <v>573</v>
      </c>
      <c r="H183">
        <v>3</v>
      </c>
      <c r="I183" t="s">
        <v>574</v>
      </c>
      <c r="J183">
        <v>2</v>
      </c>
      <c r="K183" t="s">
        <v>577</v>
      </c>
      <c r="L183" t="s">
        <v>578</v>
      </c>
      <c r="M183" s="1">
        <f t="shared" si="2"/>
        <v>9</v>
      </c>
      <c r="N183" t="str" cm="1">
        <f t="array" ref="N183">_xlfn.SWITCH(M183,12,"Fix now",11,"Fix now",10,"Fix now",9,"Fix now",8,"Plan",7,"Plan",6,"Plan",5,"Plan",4,"Accept",3,"Accept",2,"Accept",1,"Accept",0,"Accept")</f>
        <v>Fix now</v>
      </c>
    </row>
    <row r="184" spans="1:14" x14ac:dyDescent="0.3">
      <c r="A184" t="s">
        <v>555</v>
      </c>
      <c r="B184" t="s">
        <v>556</v>
      </c>
      <c r="C184" t="s">
        <v>570</v>
      </c>
      <c r="D184" t="s">
        <v>571</v>
      </c>
      <c r="E184" t="s">
        <v>136</v>
      </c>
      <c r="F184" t="s">
        <v>572</v>
      </c>
      <c r="G184" t="s">
        <v>573</v>
      </c>
      <c r="H184">
        <v>3</v>
      </c>
      <c r="I184" t="s">
        <v>574</v>
      </c>
      <c r="J184">
        <v>3</v>
      </c>
      <c r="K184" t="s">
        <v>579</v>
      </c>
      <c r="L184" t="s">
        <v>580</v>
      </c>
      <c r="M184" s="1">
        <f t="shared" si="2"/>
        <v>6</v>
      </c>
      <c r="N184" t="str" cm="1">
        <f t="array" ref="N184">_xlfn.SWITCH(M184,12,"Fix now",11,"Fix now",10,"Fix now",9,"Fix now",8,"Plan",7,"Plan",6,"Plan",5,"Plan",4,"Accept",3,"Accept",2,"Accept",1,"Accept",0,"Accept")</f>
        <v>Plan</v>
      </c>
    </row>
    <row r="185" spans="1:14" x14ac:dyDescent="0.3">
      <c r="A185" t="s">
        <v>555</v>
      </c>
      <c r="B185" t="s">
        <v>556</v>
      </c>
      <c r="C185" t="s">
        <v>570</v>
      </c>
      <c r="D185" t="s">
        <v>571</v>
      </c>
      <c r="E185" t="s">
        <v>136</v>
      </c>
      <c r="F185" t="s">
        <v>572</v>
      </c>
      <c r="G185" t="s">
        <v>573</v>
      </c>
      <c r="H185">
        <v>3</v>
      </c>
      <c r="I185" t="s">
        <v>574</v>
      </c>
      <c r="J185">
        <v>4</v>
      </c>
      <c r="K185" t="s">
        <v>581</v>
      </c>
      <c r="L185" t="s">
        <v>582</v>
      </c>
      <c r="M185" s="1">
        <f t="shared" si="2"/>
        <v>3</v>
      </c>
      <c r="N185" t="str" cm="1">
        <f t="array" ref="N185">_xlfn.SWITCH(M185,12,"Fix now",11,"Fix now",10,"Fix now",9,"Fix now",8,"Plan",7,"Plan",6,"Plan",5,"Plan",4,"Accept",3,"Accept",2,"Accept",1,"Accept",0,"Accept")</f>
        <v>Accept</v>
      </c>
    </row>
    <row r="186" spans="1:14" x14ac:dyDescent="0.3">
      <c r="A186" t="s">
        <v>555</v>
      </c>
      <c r="B186" t="s">
        <v>556</v>
      </c>
      <c r="C186" t="s">
        <v>570</v>
      </c>
      <c r="D186" t="s">
        <v>571</v>
      </c>
      <c r="E186" t="s">
        <v>136</v>
      </c>
      <c r="F186" t="s">
        <v>572</v>
      </c>
      <c r="G186" t="s">
        <v>573</v>
      </c>
      <c r="H186">
        <v>3</v>
      </c>
      <c r="I186" t="s">
        <v>574</v>
      </c>
      <c r="J186">
        <v>5</v>
      </c>
      <c r="K186" t="s">
        <v>583</v>
      </c>
      <c r="L186" t="s">
        <v>584</v>
      </c>
      <c r="M186" s="1">
        <f t="shared" si="2"/>
        <v>0</v>
      </c>
      <c r="N186" t="str" cm="1">
        <f t="array" ref="N186">_xlfn.SWITCH(M186,12,"Fix now",11,"Fix now",10,"Fix now",9,"Fix now",8,"Plan",7,"Plan",6,"Plan",5,"Plan",4,"Accept",3,"Accept",2,"Accept",1,"Accept",0,"Accept")</f>
        <v>Accept</v>
      </c>
    </row>
    <row r="187" spans="1:14" x14ac:dyDescent="0.3">
      <c r="A187" t="s">
        <v>555</v>
      </c>
      <c r="B187" t="s">
        <v>556</v>
      </c>
      <c r="C187" t="s">
        <v>585</v>
      </c>
      <c r="D187" t="s">
        <v>586</v>
      </c>
      <c r="E187" t="s">
        <v>136</v>
      </c>
      <c r="F187" t="s">
        <v>587</v>
      </c>
      <c r="G187" t="s">
        <v>588</v>
      </c>
      <c r="H187">
        <v>2</v>
      </c>
      <c r="I187" t="s">
        <v>589</v>
      </c>
      <c r="J187">
        <v>1</v>
      </c>
      <c r="K187" t="s">
        <v>590</v>
      </c>
      <c r="L187" t="s">
        <v>591</v>
      </c>
      <c r="M187" s="1">
        <f t="shared" si="2"/>
        <v>8</v>
      </c>
      <c r="N187" t="str" cm="1">
        <f t="array" ref="N187">_xlfn.SWITCH(M187,12,"Fix now",11,"Fix now",10,"Fix now",9,"Fix now",8,"Plan",7,"Plan",6,"Plan",5,"Plan",4,"Accept",3,"Accept",2,"Accept",1,"Accept",0,"Accept")</f>
        <v>Plan</v>
      </c>
    </row>
    <row r="188" spans="1:14" x14ac:dyDescent="0.3">
      <c r="A188" t="s">
        <v>555</v>
      </c>
      <c r="B188" t="s">
        <v>556</v>
      </c>
      <c r="C188" t="s">
        <v>585</v>
      </c>
      <c r="D188" t="s">
        <v>586</v>
      </c>
      <c r="E188" t="s">
        <v>136</v>
      </c>
      <c r="F188" t="s">
        <v>587</v>
      </c>
      <c r="G188" t="s">
        <v>588</v>
      </c>
      <c r="H188">
        <v>2</v>
      </c>
      <c r="I188" t="s">
        <v>589</v>
      </c>
      <c r="J188">
        <v>2</v>
      </c>
      <c r="K188" t="s">
        <v>592</v>
      </c>
      <c r="L188" t="s">
        <v>593</v>
      </c>
      <c r="M188" s="1">
        <f t="shared" si="2"/>
        <v>6</v>
      </c>
      <c r="N188" t="str" cm="1">
        <f t="array" ref="N188">_xlfn.SWITCH(M188,12,"Fix now",11,"Fix now",10,"Fix now",9,"Fix now",8,"Plan",7,"Plan",6,"Plan",5,"Plan",4,"Accept",3,"Accept",2,"Accept",1,"Accept",0,"Accept")</f>
        <v>Plan</v>
      </c>
    </row>
    <row r="189" spans="1:14" x14ac:dyDescent="0.3">
      <c r="A189" t="s">
        <v>555</v>
      </c>
      <c r="B189" t="s">
        <v>556</v>
      </c>
      <c r="C189" t="s">
        <v>585</v>
      </c>
      <c r="D189" t="s">
        <v>586</v>
      </c>
      <c r="E189" t="s">
        <v>136</v>
      </c>
      <c r="F189" t="s">
        <v>587</v>
      </c>
      <c r="G189" t="s">
        <v>588</v>
      </c>
      <c r="H189">
        <v>2</v>
      </c>
      <c r="I189" t="s">
        <v>589</v>
      </c>
      <c r="J189">
        <v>3</v>
      </c>
      <c r="K189" t="s">
        <v>594</v>
      </c>
      <c r="L189" t="s">
        <v>595</v>
      </c>
      <c r="M189" s="1">
        <f t="shared" si="2"/>
        <v>4</v>
      </c>
      <c r="N189" t="str" cm="1">
        <f t="array" ref="N189">_xlfn.SWITCH(M189,12,"Fix now",11,"Fix now",10,"Fix now",9,"Fix now",8,"Plan",7,"Plan",6,"Plan",5,"Plan",4,"Accept",3,"Accept",2,"Accept",1,"Accept",0,"Accept")</f>
        <v>Accept</v>
      </c>
    </row>
    <row r="190" spans="1:14" x14ac:dyDescent="0.3">
      <c r="A190" t="s">
        <v>555</v>
      </c>
      <c r="B190" t="s">
        <v>556</v>
      </c>
      <c r="C190" t="s">
        <v>585</v>
      </c>
      <c r="D190" t="s">
        <v>586</v>
      </c>
      <c r="E190" t="s">
        <v>136</v>
      </c>
      <c r="F190" t="s">
        <v>587</v>
      </c>
      <c r="G190" t="s">
        <v>588</v>
      </c>
      <c r="H190">
        <v>2</v>
      </c>
      <c r="I190" t="s">
        <v>589</v>
      </c>
      <c r="J190">
        <v>4</v>
      </c>
      <c r="K190" t="s">
        <v>596</v>
      </c>
      <c r="L190" t="s">
        <v>597</v>
      </c>
      <c r="M190" s="1">
        <f t="shared" si="2"/>
        <v>2</v>
      </c>
      <c r="N190" t="str" cm="1">
        <f t="array" ref="N190">_xlfn.SWITCH(M190,12,"Fix now",11,"Fix now",10,"Fix now",9,"Fix now",8,"Plan",7,"Plan",6,"Plan",5,"Plan",4,"Accept",3,"Accept",2,"Accept",1,"Accept",0,"Accept")</f>
        <v>Accept</v>
      </c>
    </row>
    <row r="191" spans="1:14" x14ac:dyDescent="0.3">
      <c r="A191" t="s">
        <v>555</v>
      </c>
      <c r="B191" t="s">
        <v>556</v>
      </c>
      <c r="C191" t="s">
        <v>585</v>
      </c>
      <c r="D191" t="s">
        <v>586</v>
      </c>
      <c r="E191" t="s">
        <v>136</v>
      </c>
      <c r="F191" t="s">
        <v>587</v>
      </c>
      <c r="G191" t="s">
        <v>588</v>
      </c>
      <c r="H191">
        <v>2</v>
      </c>
      <c r="I191" t="s">
        <v>589</v>
      </c>
      <c r="J191">
        <v>5</v>
      </c>
      <c r="K191" t="s">
        <v>598</v>
      </c>
      <c r="L191" t="s">
        <v>599</v>
      </c>
      <c r="M191" s="1">
        <f t="shared" si="2"/>
        <v>0</v>
      </c>
      <c r="N191" t="str" cm="1">
        <f t="array" ref="N191">_xlfn.SWITCH(M191,12,"Fix now",11,"Fix now",10,"Fix now",9,"Fix now",8,"Plan",7,"Plan",6,"Plan",5,"Plan",4,"Accept",3,"Accept",2,"Accept",1,"Accept",0,"Accept")</f>
        <v>Accept</v>
      </c>
    </row>
    <row r="192" spans="1:14" x14ac:dyDescent="0.3">
      <c r="A192" t="s">
        <v>555</v>
      </c>
      <c r="B192" t="s">
        <v>556</v>
      </c>
      <c r="C192" t="s">
        <v>600</v>
      </c>
      <c r="D192" t="s">
        <v>601</v>
      </c>
      <c r="E192" t="s">
        <v>136</v>
      </c>
      <c r="F192" t="s">
        <v>602</v>
      </c>
      <c r="G192" t="s">
        <v>603</v>
      </c>
      <c r="H192">
        <v>2</v>
      </c>
      <c r="I192" t="s">
        <v>604</v>
      </c>
      <c r="J192">
        <v>1</v>
      </c>
      <c r="K192" t="s">
        <v>605</v>
      </c>
      <c r="L192" t="s">
        <v>606</v>
      </c>
      <c r="M192" s="1">
        <f t="shared" si="2"/>
        <v>8</v>
      </c>
      <c r="N192" t="str" cm="1">
        <f t="array" ref="N192">_xlfn.SWITCH(M192,12,"Fix now",11,"Fix now",10,"Fix now",9,"Fix now",8,"Plan",7,"Plan",6,"Plan",5,"Plan",4,"Accept",3,"Accept",2,"Accept",1,"Accept",0,"Accept")</f>
        <v>Plan</v>
      </c>
    </row>
    <row r="193" spans="1:14" x14ac:dyDescent="0.3">
      <c r="A193" t="s">
        <v>555</v>
      </c>
      <c r="B193" t="s">
        <v>556</v>
      </c>
      <c r="C193" t="s">
        <v>600</v>
      </c>
      <c r="D193" t="s">
        <v>601</v>
      </c>
      <c r="E193" t="s">
        <v>136</v>
      </c>
      <c r="F193" t="s">
        <v>602</v>
      </c>
      <c r="G193" t="s">
        <v>603</v>
      </c>
      <c r="H193">
        <v>2</v>
      </c>
      <c r="I193" t="s">
        <v>604</v>
      </c>
      <c r="J193">
        <v>2</v>
      </c>
      <c r="K193" t="s">
        <v>607</v>
      </c>
      <c r="L193" t="s">
        <v>608</v>
      </c>
      <c r="M193" s="1">
        <f t="shared" si="2"/>
        <v>6</v>
      </c>
      <c r="N193" t="str" cm="1">
        <f t="array" ref="N193">_xlfn.SWITCH(M193,12,"Fix now",11,"Fix now",10,"Fix now",9,"Fix now",8,"Plan",7,"Plan",6,"Plan",5,"Plan",4,"Accept",3,"Accept",2,"Accept",1,"Accept",0,"Accept")</f>
        <v>Plan</v>
      </c>
    </row>
    <row r="194" spans="1:14" x14ac:dyDescent="0.3">
      <c r="A194" t="s">
        <v>555</v>
      </c>
      <c r="B194" t="s">
        <v>556</v>
      </c>
      <c r="C194" t="s">
        <v>600</v>
      </c>
      <c r="D194" t="s">
        <v>601</v>
      </c>
      <c r="E194" t="s">
        <v>136</v>
      </c>
      <c r="F194" t="s">
        <v>602</v>
      </c>
      <c r="G194" t="s">
        <v>603</v>
      </c>
      <c r="H194">
        <v>2</v>
      </c>
      <c r="I194" t="s">
        <v>604</v>
      </c>
      <c r="J194">
        <v>3</v>
      </c>
      <c r="K194" t="s">
        <v>609</v>
      </c>
      <c r="L194" t="s">
        <v>610</v>
      </c>
      <c r="M194" s="1">
        <f t="shared" si="2"/>
        <v>4</v>
      </c>
      <c r="N194" t="str" cm="1">
        <f t="array" ref="N194">_xlfn.SWITCH(M194,12,"Fix now",11,"Fix now",10,"Fix now",9,"Fix now",8,"Plan",7,"Plan",6,"Plan",5,"Plan",4,"Accept",3,"Accept",2,"Accept",1,"Accept",0,"Accept")</f>
        <v>Accept</v>
      </c>
    </row>
    <row r="195" spans="1:14" x14ac:dyDescent="0.3">
      <c r="A195" t="s">
        <v>555</v>
      </c>
      <c r="B195" t="s">
        <v>556</v>
      </c>
      <c r="C195" t="s">
        <v>600</v>
      </c>
      <c r="D195" t="s">
        <v>601</v>
      </c>
      <c r="E195" t="s">
        <v>136</v>
      </c>
      <c r="F195" t="s">
        <v>602</v>
      </c>
      <c r="G195" t="s">
        <v>603</v>
      </c>
      <c r="H195">
        <v>2</v>
      </c>
      <c r="I195" t="s">
        <v>604</v>
      </c>
      <c r="J195">
        <v>4</v>
      </c>
      <c r="K195" t="s">
        <v>611</v>
      </c>
      <c r="L195" t="s">
        <v>612</v>
      </c>
      <c r="M195" s="1">
        <f t="shared" ref="M195:M251" si="3">(5-$J195)*H195</f>
        <v>2</v>
      </c>
      <c r="N195" t="str" cm="1">
        <f t="array" ref="N195">_xlfn.SWITCH(M195,12,"Fix now",11,"Fix now",10,"Fix now",9,"Fix now",8,"Plan",7,"Plan",6,"Plan",5,"Plan",4,"Accept",3,"Accept",2,"Accept",1,"Accept",0,"Accept")</f>
        <v>Accept</v>
      </c>
    </row>
    <row r="196" spans="1:14" x14ac:dyDescent="0.3">
      <c r="A196" t="s">
        <v>555</v>
      </c>
      <c r="B196" t="s">
        <v>556</v>
      </c>
      <c r="C196" t="s">
        <v>600</v>
      </c>
      <c r="D196" t="s">
        <v>601</v>
      </c>
      <c r="E196" t="s">
        <v>136</v>
      </c>
      <c r="F196" t="s">
        <v>602</v>
      </c>
      <c r="G196" t="s">
        <v>603</v>
      </c>
      <c r="H196">
        <v>2</v>
      </c>
      <c r="I196" t="s">
        <v>604</v>
      </c>
      <c r="J196">
        <v>5</v>
      </c>
      <c r="K196" t="s">
        <v>613</v>
      </c>
      <c r="L196" t="s">
        <v>614</v>
      </c>
      <c r="M196" s="1">
        <f t="shared" si="3"/>
        <v>0</v>
      </c>
      <c r="N196" t="str" cm="1">
        <f t="array" ref="N196">_xlfn.SWITCH(M196,12,"Fix now",11,"Fix now",10,"Fix now",9,"Fix now",8,"Plan",7,"Plan",6,"Plan",5,"Plan",4,"Accept",3,"Accept",2,"Accept",1,"Accept",0,"Accept")</f>
        <v>Accept</v>
      </c>
    </row>
    <row r="197" spans="1:14" x14ac:dyDescent="0.3">
      <c r="A197" t="s">
        <v>555</v>
      </c>
      <c r="B197" t="s">
        <v>556</v>
      </c>
      <c r="C197" t="s">
        <v>615</v>
      </c>
      <c r="D197" t="s">
        <v>616</v>
      </c>
      <c r="E197" t="s">
        <v>136</v>
      </c>
      <c r="F197" t="s">
        <v>617</v>
      </c>
      <c r="G197" t="s">
        <v>618</v>
      </c>
      <c r="H197">
        <v>1</v>
      </c>
      <c r="I197" t="s">
        <v>619</v>
      </c>
      <c r="J197">
        <v>1</v>
      </c>
      <c r="K197" t="s">
        <v>620</v>
      </c>
      <c r="L197" t="s">
        <v>621</v>
      </c>
      <c r="M197" s="1">
        <f t="shared" si="3"/>
        <v>4</v>
      </c>
      <c r="N197" t="str" cm="1">
        <f t="array" ref="N197">_xlfn.SWITCH(M197,12,"Fix now",11,"Fix now",10,"Fix now",9,"Fix now",8,"Plan",7,"Plan",6,"Plan",5,"Plan",4,"Accept",3,"Accept",2,"Accept",1,"Accept",0,"Accept")</f>
        <v>Accept</v>
      </c>
    </row>
    <row r="198" spans="1:14" x14ac:dyDescent="0.3">
      <c r="A198" t="s">
        <v>555</v>
      </c>
      <c r="B198" t="s">
        <v>556</v>
      </c>
      <c r="C198" t="s">
        <v>615</v>
      </c>
      <c r="D198" t="s">
        <v>616</v>
      </c>
      <c r="E198" t="s">
        <v>136</v>
      </c>
      <c r="F198" t="s">
        <v>617</v>
      </c>
      <c r="G198" t="s">
        <v>618</v>
      </c>
      <c r="H198">
        <v>1</v>
      </c>
      <c r="I198" t="s">
        <v>619</v>
      </c>
      <c r="J198">
        <v>2</v>
      </c>
      <c r="K198" t="s">
        <v>622</v>
      </c>
      <c r="L198" t="s">
        <v>623</v>
      </c>
      <c r="M198" s="1">
        <f t="shared" si="3"/>
        <v>3</v>
      </c>
      <c r="N198" t="str" cm="1">
        <f t="array" ref="N198">_xlfn.SWITCH(M198,12,"Fix now",11,"Fix now",10,"Fix now",9,"Fix now",8,"Plan",7,"Plan",6,"Plan",5,"Plan",4,"Accept",3,"Accept",2,"Accept",1,"Accept",0,"Accept")</f>
        <v>Accept</v>
      </c>
    </row>
    <row r="199" spans="1:14" x14ac:dyDescent="0.3">
      <c r="A199" t="s">
        <v>555</v>
      </c>
      <c r="B199" t="s">
        <v>556</v>
      </c>
      <c r="C199" t="s">
        <v>615</v>
      </c>
      <c r="D199" t="s">
        <v>616</v>
      </c>
      <c r="E199" t="s">
        <v>136</v>
      </c>
      <c r="F199" t="s">
        <v>617</v>
      </c>
      <c r="G199" t="s">
        <v>618</v>
      </c>
      <c r="H199">
        <v>1</v>
      </c>
      <c r="I199" t="s">
        <v>619</v>
      </c>
      <c r="J199">
        <v>3</v>
      </c>
      <c r="K199" t="s">
        <v>624</v>
      </c>
      <c r="L199" t="s">
        <v>625</v>
      </c>
      <c r="M199" s="1">
        <f t="shared" si="3"/>
        <v>2</v>
      </c>
      <c r="N199" t="str" cm="1">
        <f t="array" ref="N199">_xlfn.SWITCH(M199,12,"Fix now",11,"Fix now",10,"Fix now",9,"Fix now",8,"Plan",7,"Plan",6,"Plan",5,"Plan",4,"Accept",3,"Accept",2,"Accept",1,"Accept",0,"Accept")</f>
        <v>Accept</v>
      </c>
    </row>
    <row r="200" spans="1:14" x14ac:dyDescent="0.3">
      <c r="A200" t="s">
        <v>555</v>
      </c>
      <c r="B200" t="s">
        <v>556</v>
      </c>
      <c r="C200" t="s">
        <v>615</v>
      </c>
      <c r="D200" t="s">
        <v>616</v>
      </c>
      <c r="E200" t="s">
        <v>136</v>
      </c>
      <c r="F200" t="s">
        <v>617</v>
      </c>
      <c r="G200" t="s">
        <v>618</v>
      </c>
      <c r="H200">
        <v>1</v>
      </c>
      <c r="I200" t="s">
        <v>619</v>
      </c>
      <c r="J200">
        <v>4</v>
      </c>
      <c r="K200" t="s">
        <v>626</v>
      </c>
      <c r="L200" t="s">
        <v>627</v>
      </c>
      <c r="M200" s="1">
        <f t="shared" si="3"/>
        <v>1</v>
      </c>
      <c r="N200" t="str" cm="1">
        <f t="array" ref="N200">_xlfn.SWITCH(M200,12,"Fix now",11,"Fix now",10,"Fix now",9,"Fix now",8,"Plan",7,"Plan",6,"Plan",5,"Plan",4,"Accept",3,"Accept",2,"Accept",1,"Accept",0,"Accept")</f>
        <v>Accept</v>
      </c>
    </row>
    <row r="201" spans="1:14" x14ac:dyDescent="0.3">
      <c r="A201" t="s">
        <v>555</v>
      </c>
      <c r="B201" t="s">
        <v>556</v>
      </c>
      <c r="C201" t="s">
        <v>615</v>
      </c>
      <c r="D201" t="s">
        <v>616</v>
      </c>
      <c r="E201" t="s">
        <v>136</v>
      </c>
      <c r="F201" t="s">
        <v>617</v>
      </c>
      <c r="G201" t="s">
        <v>618</v>
      </c>
      <c r="H201">
        <v>1</v>
      </c>
      <c r="I201" t="s">
        <v>619</v>
      </c>
      <c r="J201">
        <v>5</v>
      </c>
      <c r="K201" t="s">
        <v>628</v>
      </c>
      <c r="L201" t="s">
        <v>629</v>
      </c>
      <c r="M201" s="1">
        <f t="shared" si="3"/>
        <v>0</v>
      </c>
      <c r="N201" t="str" cm="1">
        <f t="array" ref="N201">_xlfn.SWITCH(M201,12,"Fix now",11,"Fix now",10,"Fix now",9,"Fix now",8,"Plan",7,"Plan",6,"Plan",5,"Plan",4,"Accept",3,"Accept",2,"Accept",1,"Accept",0,"Accept")</f>
        <v>Accept</v>
      </c>
    </row>
    <row r="202" spans="1:14" x14ac:dyDescent="0.3">
      <c r="A202" t="s">
        <v>630</v>
      </c>
      <c r="B202" t="s">
        <v>631</v>
      </c>
      <c r="C202" t="s">
        <v>632</v>
      </c>
      <c r="D202" t="s">
        <v>633</v>
      </c>
      <c r="E202" t="s">
        <v>98</v>
      </c>
      <c r="F202" t="s">
        <v>634</v>
      </c>
      <c r="G202" t="s">
        <v>635</v>
      </c>
      <c r="H202">
        <v>2</v>
      </c>
      <c r="I202" t="s">
        <v>636</v>
      </c>
      <c r="J202">
        <v>1</v>
      </c>
      <c r="K202" t="s">
        <v>637</v>
      </c>
      <c r="L202" t="s">
        <v>638</v>
      </c>
      <c r="M202" s="1">
        <f t="shared" si="3"/>
        <v>8</v>
      </c>
      <c r="N202" t="str" cm="1">
        <f t="array" ref="N202">_xlfn.SWITCH(M202,12,"Fix now",11,"Fix now",10,"Fix now",9,"Fix now",8,"Plan",7,"Plan",6,"Plan",5,"Plan",4,"Accept",3,"Accept",2,"Accept",1,"Accept",0,"Accept")</f>
        <v>Plan</v>
      </c>
    </row>
    <row r="203" spans="1:14" x14ac:dyDescent="0.3">
      <c r="A203" t="s">
        <v>630</v>
      </c>
      <c r="B203" t="s">
        <v>631</v>
      </c>
      <c r="C203" t="s">
        <v>632</v>
      </c>
      <c r="D203" t="s">
        <v>633</v>
      </c>
      <c r="E203" t="s">
        <v>98</v>
      </c>
      <c r="F203" t="s">
        <v>634</v>
      </c>
      <c r="G203" t="s">
        <v>635</v>
      </c>
      <c r="H203">
        <v>2</v>
      </c>
      <c r="I203" t="s">
        <v>636</v>
      </c>
      <c r="J203">
        <v>2</v>
      </c>
      <c r="K203" t="s">
        <v>639</v>
      </c>
      <c r="L203" t="s">
        <v>640</v>
      </c>
      <c r="M203" s="1">
        <f t="shared" si="3"/>
        <v>6</v>
      </c>
      <c r="N203" t="str" cm="1">
        <f t="array" ref="N203">_xlfn.SWITCH(M203,12,"Fix now",11,"Fix now",10,"Fix now",9,"Fix now",8,"Plan",7,"Plan",6,"Plan",5,"Plan",4,"Accept",3,"Accept",2,"Accept",1,"Accept",0,"Accept")</f>
        <v>Plan</v>
      </c>
    </row>
    <row r="204" spans="1:14" x14ac:dyDescent="0.3">
      <c r="A204" t="s">
        <v>630</v>
      </c>
      <c r="B204" t="s">
        <v>631</v>
      </c>
      <c r="C204" t="s">
        <v>632</v>
      </c>
      <c r="D204" t="s">
        <v>633</v>
      </c>
      <c r="E204" t="s">
        <v>98</v>
      </c>
      <c r="F204" t="s">
        <v>634</v>
      </c>
      <c r="G204" t="s">
        <v>635</v>
      </c>
      <c r="H204">
        <v>2</v>
      </c>
      <c r="I204" t="s">
        <v>636</v>
      </c>
      <c r="J204">
        <v>3</v>
      </c>
      <c r="K204" t="s">
        <v>641</v>
      </c>
      <c r="L204" t="s">
        <v>642</v>
      </c>
      <c r="M204" s="1">
        <f t="shared" si="3"/>
        <v>4</v>
      </c>
      <c r="N204" t="str" cm="1">
        <f t="array" ref="N204">_xlfn.SWITCH(M204,12,"Fix now",11,"Fix now",10,"Fix now",9,"Fix now",8,"Plan",7,"Plan",6,"Plan",5,"Plan",4,"Accept",3,"Accept",2,"Accept",1,"Accept",0,"Accept")</f>
        <v>Accept</v>
      </c>
    </row>
    <row r="205" spans="1:14" x14ac:dyDescent="0.3">
      <c r="A205" t="s">
        <v>630</v>
      </c>
      <c r="B205" t="s">
        <v>631</v>
      </c>
      <c r="C205" t="s">
        <v>632</v>
      </c>
      <c r="D205" t="s">
        <v>633</v>
      </c>
      <c r="E205" t="s">
        <v>98</v>
      </c>
      <c r="F205" t="s">
        <v>634</v>
      </c>
      <c r="G205" t="s">
        <v>635</v>
      </c>
      <c r="H205">
        <v>2</v>
      </c>
      <c r="I205" t="s">
        <v>636</v>
      </c>
      <c r="J205">
        <v>4</v>
      </c>
      <c r="K205" t="s">
        <v>643</v>
      </c>
      <c r="L205" t="s">
        <v>644</v>
      </c>
      <c r="M205" s="1">
        <f t="shared" si="3"/>
        <v>2</v>
      </c>
      <c r="N205" t="str" cm="1">
        <f t="array" ref="N205">_xlfn.SWITCH(M205,12,"Fix now",11,"Fix now",10,"Fix now",9,"Fix now",8,"Plan",7,"Plan",6,"Plan",5,"Plan",4,"Accept",3,"Accept",2,"Accept",1,"Accept",0,"Accept")</f>
        <v>Accept</v>
      </c>
    </row>
    <row r="206" spans="1:14" x14ac:dyDescent="0.3">
      <c r="A206" t="s">
        <v>630</v>
      </c>
      <c r="B206" t="s">
        <v>631</v>
      </c>
      <c r="C206" t="s">
        <v>632</v>
      </c>
      <c r="D206" t="s">
        <v>633</v>
      </c>
      <c r="E206" t="s">
        <v>98</v>
      </c>
      <c r="F206" t="s">
        <v>634</v>
      </c>
      <c r="G206" t="s">
        <v>635</v>
      </c>
      <c r="H206">
        <v>2</v>
      </c>
      <c r="I206" t="s">
        <v>636</v>
      </c>
      <c r="J206">
        <v>5</v>
      </c>
      <c r="K206" t="s">
        <v>645</v>
      </c>
      <c r="L206" t="s">
        <v>646</v>
      </c>
      <c r="M206" s="1">
        <f t="shared" si="3"/>
        <v>0</v>
      </c>
      <c r="N206" t="str" cm="1">
        <f t="array" ref="N206">_xlfn.SWITCH(M206,12,"Fix now",11,"Fix now",10,"Fix now",9,"Fix now",8,"Plan",7,"Plan",6,"Plan",5,"Plan",4,"Accept",3,"Accept",2,"Accept",1,"Accept",0,"Accept")</f>
        <v>Accept</v>
      </c>
    </row>
    <row r="207" spans="1:14" x14ac:dyDescent="0.3">
      <c r="A207" t="s">
        <v>630</v>
      </c>
      <c r="B207" t="s">
        <v>631</v>
      </c>
      <c r="C207" t="s">
        <v>647</v>
      </c>
      <c r="D207" t="s">
        <v>648</v>
      </c>
      <c r="E207" t="s">
        <v>98</v>
      </c>
      <c r="F207" t="s">
        <v>649</v>
      </c>
      <c r="G207" t="s">
        <v>650</v>
      </c>
      <c r="H207">
        <v>1</v>
      </c>
      <c r="I207" t="s">
        <v>651</v>
      </c>
      <c r="J207">
        <v>1</v>
      </c>
      <c r="K207" t="s">
        <v>652</v>
      </c>
      <c r="L207" t="s">
        <v>653</v>
      </c>
      <c r="M207" s="1">
        <f t="shared" si="3"/>
        <v>4</v>
      </c>
      <c r="N207" t="str" cm="1">
        <f t="array" ref="N207">_xlfn.SWITCH(M207,12,"Fix now",11,"Fix now",10,"Fix now",9,"Fix now",8,"Plan",7,"Plan",6,"Plan",5,"Plan",4,"Accept",3,"Accept",2,"Accept",1,"Accept",0,"Accept")</f>
        <v>Accept</v>
      </c>
    </row>
    <row r="208" spans="1:14" x14ac:dyDescent="0.3">
      <c r="A208" t="s">
        <v>630</v>
      </c>
      <c r="B208" t="s">
        <v>631</v>
      </c>
      <c r="C208" t="s">
        <v>647</v>
      </c>
      <c r="D208" t="s">
        <v>648</v>
      </c>
      <c r="E208" t="s">
        <v>98</v>
      </c>
      <c r="F208" t="s">
        <v>649</v>
      </c>
      <c r="G208" t="s">
        <v>650</v>
      </c>
      <c r="H208">
        <v>1</v>
      </c>
      <c r="I208" t="s">
        <v>651</v>
      </c>
      <c r="J208">
        <v>2</v>
      </c>
      <c r="K208" t="s">
        <v>654</v>
      </c>
      <c r="L208" t="s">
        <v>655</v>
      </c>
      <c r="M208" s="1">
        <f t="shared" si="3"/>
        <v>3</v>
      </c>
      <c r="N208" t="str" cm="1">
        <f t="array" ref="N208">_xlfn.SWITCH(M208,12,"Fix now",11,"Fix now",10,"Fix now",9,"Fix now",8,"Plan",7,"Plan",6,"Plan",5,"Plan",4,"Accept",3,"Accept",2,"Accept",1,"Accept",0,"Accept")</f>
        <v>Accept</v>
      </c>
    </row>
    <row r="209" spans="1:14" x14ac:dyDescent="0.3">
      <c r="A209" t="s">
        <v>630</v>
      </c>
      <c r="B209" t="s">
        <v>631</v>
      </c>
      <c r="C209" t="s">
        <v>647</v>
      </c>
      <c r="D209" t="s">
        <v>648</v>
      </c>
      <c r="E209" t="s">
        <v>98</v>
      </c>
      <c r="F209" t="s">
        <v>649</v>
      </c>
      <c r="G209" t="s">
        <v>650</v>
      </c>
      <c r="H209">
        <v>1</v>
      </c>
      <c r="I209" t="s">
        <v>651</v>
      </c>
      <c r="J209">
        <v>3</v>
      </c>
      <c r="K209" t="s">
        <v>656</v>
      </c>
      <c r="L209" t="s">
        <v>657</v>
      </c>
      <c r="M209" s="1">
        <f t="shared" si="3"/>
        <v>2</v>
      </c>
      <c r="N209" t="str" cm="1">
        <f t="array" ref="N209">_xlfn.SWITCH(M209,12,"Fix now",11,"Fix now",10,"Fix now",9,"Fix now",8,"Plan",7,"Plan",6,"Plan",5,"Plan",4,"Accept",3,"Accept",2,"Accept",1,"Accept",0,"Accept")</f>
        <v>Accept</v>
      </c>
    </row>
    <row r="210" spans="1:14" x14ac:dyDescent="0.3">
      <c r="A210" t="s">
        <v>630</v>
      </c>
      <c r="B210" t="s">
        <v>631</v>
      </c>
      <c r="C210" t="s">
        <v>647</v>
      </c>
      <c r="D210" t="s">
        <v>648</v>
      </c>
      <c r="E210" t="s">
        <v>98</v>
      </c>
      <c r="F210" t="s">
        <v>649</v>
      </c>
      <c r="G210" t="s">
        <v>650</v>
      </c>
      <c r="H210">
        <v>1</v>
      </c>
      <c r="I210" t="s">
        <v>651</v>
      </c>
      <c r="J210">
        <v>4</v>
      </c>
      <c r="K210" t="s">
        <v>658</v>
      </c>
      <c r="L210" t="s">
        <v>659</v>
      </c>
      <c r="M210" s="1">
        <f t="shared" si="3"/>
        <v>1</v>
      </c>
      <c r="N210" t="str" cm="1">
        <f t="array" ref="N210">_xlfn.SWITCH(M210,12,"Fix now",11,"Fix now",10,"Fix now",9,"Fix now",8,"Plan",7,"Plan",6,"Plan",5,"Plan",4,"Accept",3,"Accept",2,"Accept",1,"Accept",0,"Accept")</f>
        <v>Accept</v>
      </c>
    </row>
    <row r="211" spans="1:14" x14ac:dyDescent="0.3">
      <c r="A211" t="s">
        <v>630</v>
      </c>
      <c r="B211" t="s">
        <v>631</v>
      </c>
      <c r="C211" t="s">
        <v>647</v>
      </c>
      <c r="D211" t="s">
        <v>648</v>
      </c>
      <c r="E211" t="s">
        <v>98</v>
      </c>
      <c r="F211" t="s">
        <v>649</v>
      </c>
      <c r="G211" t="s">
        <v>650</v>
      </c>
      <c r="H211">
        <v>1</v>
      </c>
      <c r="I211" t="s">
        <v>651</v>
      </c>
      <c r="J211">
        <v>5</v>
      </c>
      <c r="K211" t="s">
        <v>660</v>
      </c>
      <c r="L211" t="s">
        <v>661</v>
      </c>
      <c r="M211" s="1">
        <f t="shared" si="3"/>
        <v>0</v>
      </c>
      <c r="N211" t="str" cm="1">
        <f t="array" ref="N211">_xlfn.SWITCH(M211,12,"Fix now",11,"Fix now",10,"Fix now",9,"Fix now",8,"Plan",7,"Plan",6,"Plan",5,"Plan",4,"Accept",3,"Accept",2,"Accept",1,"Accept",0,"Accept")</f>
        <v>Accept</v>
      </c>
    </row>
    <row r="212" spans="1:14" x14ac:dyDescent="0.3">
      <c r="A212" t="s">
        <v>630</v>
      </c>
      <c r="B212" t="s">
        <v>631</v>
      </c>
      <c r="C212" t="s">
        <v>662</v>
      </c>
      <c r="D212" t="s">
        <v>663</v>
      </c>
      <c r="E212" t="s">
        <v>98</v>
      </c>
      <c r="F212" t="s">
        <v>664</v>
      </c>
      <c r="G212" t="s">
        <v>665</v>
      </c>
      <c r="H212">
        <v>2</v>
      </c>
      <c r="I212" t="s">
        <v>666</v>
      </c>
      <c r="J212">
        <v>1</v>
      </c>
      <c r="K212" t="s">
        <v>667</v>
      </c>
      <c r="L212" t="s">
        <v>668</v>
      </c>
      <c r="M212" s="1">
        <f t="shared" si="3"/>
        <v>8</v>
      </c>
      <c r="N212" t="str" cm="1">
        <f t="array" ref="N212">_xlfn.SWITCH(M212,12,"Fix now",11,"Fix now",10,"Fix now",9,"Fix now",8,"Plan",7,"Plan",6,"Plan",5,"Plan",4,"Accept",3,"Accept",2,"Accept",1,"Accept",0,"Accept")</f>
        <v>Plan</v>
      </c>
    </row>
    <row r="213" spans="1:14" x14ac:dyDescent="0.3">
      <c r="A213" t="s">
        <v>630</v>
      </c>
      <c r="B213" t="s">
        <v>631</v>
      </c>
      <c r="C213" t="s">
        <v>662</v>
      </c>
      <c r="D213" t="s">
        <v>663</v>
      </c>
      <c r="E213" t="s">
        <v>98</v>
      </c>
      <c r="F213" t="s">
        <v>664</v>
      </c>
      <c r="G213" t="s">
        <v>665</v>
      </c>
      <c r="H213">
        <v>2</v>
      </c>
      <c r="I213" t="s">
        <v>666</v>
      </c>
      <c r="J213">
        <v>2</v>
      </c>
      <c r="K213" t="s">
        <v>669</v>
      </c>
      <c r="L213" t="s">
        <v>670</v>
      </c>
      <c r="M213" s="1">
        <f t="shared" si="3"/>
        <v>6</v>
      </c>
      <c r="N213" t="str" cm="1">
        <f t="array" ref="N213">_xlfn.SWITCH(M213,12,"Fix now",11,"Fix now",10,"Fix now",9,"Fix now",8,"Plan",7,"Plan",6,"Plan",5,"Plan",4,"Accept",3,"Accept",2,"Accept",1,"Accept",0,"Accept")</f>
        <v>Plan</v>
      </c>
    </row>
    <row r="214" spans="1:14" x14ac:dyDescent="0.3">
      <c r="A214" t="s">
        <v>630</v>
      </c>
      <c r="B214" t="s">
        <v>631</v>
      </c>
      <c r="C214" t="s">
        <v>662</v>
      </c>
      <c r="D214" t="s">
        <v>663</v>
      </c>
      <c r="E214" t="s">
        <v>98</v>
      </c>
      <c r="F214" t="s">
        <v>664</v>
      </c>
      <c r="G214" t="s">
        <v>665</v>
      </c>
      <c r="H214">
        <v>2</v>
      </c>
      <c r="I214" t="s">
        <v>666</v>
      </c>
      <c r="J214">
        <v>3</v>
      </c>
      <c r="K214" t="s">
        <v>671</v>
      </c>
      <c r="L214" t="s">
        <v>672</v>
      </c>
      <c r="M214" s="1">
        <f t="shared" si="3"/>
        <v>4</v>
      </c>
      <c r="N214" t="str" cm="1">
        <f t="array" ref="N214">_xlfn.SWITCH(M214,12,"Fix now",11,"Fix now",10,"Fix now",9,"Fix now",8,"Plan",7,"Plan",6,"Plan",5,"Plan",4,"Accept",3,"Accept",2,"Accept",1,"Accept",0,"Accept")</f>
        <v>Accept</v>
      </c>
    </row>
    <row r="215" spans="1:14" x14ac:dyDescent="0.3">
      <c r="A215" t="s">
        <v>630</v>
      </c>
      <c r="B215" t="s">
        <v>631</v>
      </c>
      <c r="C215" t="s">
        <v>662</v>
      </c>
      <c r="D215" t="s">
        <v>663</v>
      </c>
      <c r="E215" t="s">
        <v>98</v>
      </c>
      <c r="F215" t="s">
        <v>664</v>
      </c>
      <c r="G215" t="s">
        <v>665</v>
      </c>
      <c r="H215">
        <v>2</v>
      </c>
      <c r="I215" t="s">
        <v>666</v>
      </c>
      <c r="J215">
        <v>4</v>
      </c>
      <c r="K215" t="s">
        <v>673</v>
      </c>
      <c r="L215" t="s">
        <v>674</v>
      </c>
      <c r="M215" s="1">
        <f t="shared" si="3"/>
        <v>2</v>
      </c>
      <c r="N215" t="str" cm="1">
        <f t="array" ref="N215">_xlfn.SWITCH(M215,12,"Fix now",11,"Fix now",10,"Fix now",9,"Fix now",8,"Plan",7,"Plan",6,"Plan",5,"Plan",4,"Accept",3,"Accept",2,"Accept",1,"Accept",0,"Accept")</f>
        <v>Accept</v>
      </c>
    </row>
    <row r="216" spans="1:14" x14ac:dyDescent="0.3">
      <c r="A216" t="s">
        <v>630</v>
      </c>
      <c r="B216" t="s">
        <v>631</v>
      </c>
      <c r="C216" t="s">
        <v>662</v>
      </c>
      <c r="D216" t="s">
        <v>663</v>
      </c>
      <c r="E216" t="s">
        <v>98</v>
      </c>
      <c r="F216" t="s">
        <v>664</v>
      </c>
      <c r="G216" t="s">
        <v>665</v>
      </c>
      <c r="H216">
        <v>2</v>
      </c>
      <c r="I216" t="s">
        <v>666</v>
      </c>
      <c r="J216">
        <v>5</v>
      </c>
      <c r="K216" t="s">
        <v>675</v>
      </c>
      <c r="L216" t="s">
        <v>676</v>
      </c>
      <c r="M216" s="1">
        <f t="shared" si="3"/>
        <v>0</v>
      </c>
      <c r="N216" t="str" cm="1">
        <f t="array" ref="N216">_xlfn.SWITCH(M216,12,"Fix now",11,"Fix now",10,"Fix now",9,"Fix now",8,"Plan",7,"Plan",6,"Plan",5,"Plan",4,"Accept",3,"Accept",2,"Accept",1,"Accept",0,"Accept")</f>
        <v>Accept</v>
      </c>
    </row>
    <row r="217" spans="1:14" x14ac:dyDescent="0.3">
      <c r="A217" t="s">
        <v>630</v>
      </c>
      <c r="B217" t="s">
        <v>631</v>
      </c>
      <c r="C217" t="s">
        <v>677</v>
      </c>
      <c r="D217" t="s">
        <v>678</v>
      </c>
      <c r="E217" t="s">
        <v>98</v>
      </c>
      <c r="F217" t="s">
        <v>679</v>
      </c>
      <c r="G217" t="s">
        <v>680</v>
      </c>
      <c r="H217">
        <v>1</v>
      </c>
      <c r="I217" t="s">
        <v>681</v>
      </c>
      <c r="J217">
        <v>1</v>
      </c>
      <c r="K217" t="s">
        <v>682</v>
      </c>
      <c r="L217" t="s">
        <v>683</v>
      </c>
      <c r="M217" s="1">
        <f t="shared" si="3"/>
        <v>4</v>
      </c>
      <c r="N217" t="str" cm="1">
        <f t="array" ref="N217">_xlfn.SWITCH(M217,12,"Fix now",11,"Fix now",10,"Fix now",9,"Fix now",8,"Plan",7,"Plan",6,"Plan",5,"Plan",4,"Accept",3,"Accept",2,"Accept",1,"Accept",0,"Accept")</f>
        <v>Accept</v>
      </c>
    </row>
    <row r="218" spans="1:14" x14ac:dyDescent="0.3">
      <c r="A218" t="s">
        <v>630</v>
      </c>
      <c r="B218" t="s">
        <v>631</v>
      </c>
      <c r="C218" t="s">
        <v>677</v>
      </c>
      <c r="D218" t="s">
        <v>678</v>
      </c>
      <c r="E218" t="s">
        <v>98</v>
      </c>
      <c r="F218" t="s">
        <v>679</v>
      </c>
      <c r="G218" t="s">
        <v>680</v>
      </c>
      <c r="H218">
        <v>1</v>
      </c>
      <c r="I218" t="s">
        <v>681</v>
      </c>
      <c r="J218">
        <v>2</v>
      </c>
      <c r="K218" t="s">
        <v>684</v>
      </c>
      <c r="L218" t="s">
        <v>685</v>
      </c>
      <c r="M218" s="1">
        <f t="shared" si="3"/>
        <v>3</v>
      </c>
      <c r="N218" t="str" cm="1">
        <f t="array" ref="N218">_xlfn.SWITCH(M218,12,"Fix now",11,"Fix now",10,"Fix now",9,"Fix now",8,"Plan",7,"Plan",6,"Plan",5,"Plan",4,"Accept",3,"Accept",2,"Accept",1,"Accept",0,"Accept")</f>
        <v>Accept</v>
      </c>
    </row>
    <row r="219" spans="1:14" x14ac:dyDescent="0.3">
      <c r="A219" t="s">
        <v>630</v>
      </c>
      <c r="B219" t="s">
        <v>631</v>
      </c>
      <c r="C219" t="s">
        <v>677</v>
      </c>
      <c r="D219" t="s">
        <v>678</v>
      </c>
      <c r="E219" t="s">
        <v>98</v>
      </c>
      <c r="F219" t="s">
        <v>679</v>
      </c>
      <c r="G219" t="s">
        <v>680</v>
      </c>
      <c r="H219">
        <v>1</v>
      </c>
      <c r="I219" t="s">
        <v>681</v>
      </c>
      <c r="J219">
        <v>3</v>
      </c>
      <c r="K219" t="s">
        <v>686</v>
      </c>
      <c r="L219" t="s">
        <v>687</v>
      </c>
      <c r="M219" s="1">
        <f t="shared" si="3"/>
        <v>2</v>
      </c>
      <c r="N219" t="str" cm="1">
        <f t="array" ref="N219">_xlfn.SWITCH(M219,12,"Fix now",11,"Fix now",10,"Fix now",9,"Fix now",8,"Plan",7,"Plan",6,"Plan",5,"Plan",4,"Accept",3,"Accept",2,"Accept",1,"Accept",0,"Accept")</f>
        <v>Accept</v>
      </c>
    </row>
    <row r="220" spans="1:14" x14ac:dyDescent="0.3">
      <c r="A220" t="s">
        <v>630</v>
      </c>
      <c r="B220" t="s">
        <v>631</v>
      </c>
      <c r="C220" t="s">
        <v>677</v>
      </c>
      <c r="D220" t="s">
        <v>678</v>
      </c>
      <c r="E220" t="s">
        <v>98</v>
      </c>
      <c r="F220" t="s">
        <v>679</v>
      </c>
      <c r="G220" t="s">
        <v>680</v>
      </c>
      <c r="H220">
        <v>1</v>
      </c>
      <c r="I220" t="s">
        <v>681</v>
      </c>
      <c r="J220">
        <v>4</v>
      </c>
      <c r="K220" t="s">
        <v>688</v>
      </c>
      <c r="L220" t="s">
        <v>689</v>
      </c>
      <c r="M220" s="1">
        <f t="shared" si="3"/>
        <v>1</v>
      </c>
      <c r="N220" t="str" cm="1">
        <f t="array" ref="N220">_xlfn.SWITCH(M220,12,"Fix now",11,"Fix now",10,"Fix now",9,"Fix now",8,"Plan",7,"Plan",6,"Plan",5,"Plan",4,"Accept",3,"Accept",2,"Accept",1,"Accept",0,"Accept")</f>
        <v>Accept</v>
      </c>
    </row>
    <row r="221" spans="1:14" x14ac:dyDescent="0.3">
      <c r="A221" t="s">
        <v>630</v>
      </c>
      <c r="B221" t="s">
        <v>631</v>
      </c>
      <c r="C221" t="s">
        <v>677</v>
      </c>
      <c r="D221" t="s">
        <v>678</v>
      </c>
      <c r="E221" t="s">
        <v>98</v>
      </c>
      <c r="F221" t="s">
        <v>679</v>
      </c>
      <c r="G221" t="s">
        <v>680</v>
      </c>
      <c r="H221">
        <v>1</v>
      </c>
      <c r="I221" t="s">
        <v>681</v>
      </c>
      <c r="J221">
        <v>5</v>
      </c>
      <c r="K221" t="s">
        <v>690</v>
      </c>
      <c r="L221" t="s">
        <v>691</v>
      </c>
      <c r="M221" s="1">
        <f t="shared" si="3"/>
        <v>0</v>
      </c>
      <c r="N221" t="str" cm="1">
        <f t="array" ref="N221">_xlfn.SWITCH(M221,12,"Fix now",11,"Fix now",10,"Fix now",9,"Fix now",8,"Plan",7,"Plan",6,"Plan",5,"Plan",4,"Accept",3,"Accept",2,"Accept",1,"Accept",0,"Accept")</f>
        <v>Accept</v>
      </c>
    </row>
    <row r="222" spans="1:14" x14ac:dyDescent="0.3">
      <c r="A222" t="s">
        <v>630</v>
      </c>
      <c r="B222" t="s">
        <v>631</v>
      </c>
      <c r="C222" t="s">
        <v>692</v>
      </c>
      <c r="D222" t="s">
        <v>693</v>
      </c>
      <c r="E222" t="s">
        <v>98</v>
      </c>
      <c r="F222" t="s">
        <v>694</v>
      </c>
      <c r="G222" t="s">
        <v>695</v>
      </c>
      <c r="H222">
        <v>2</v>
      </c>
      <c r="I222" t="s">
        <v>696</v>
      </c>
      <c r="J222">
        <v>1</v>
      </c>
      <c r="K222" t="s">
        <v>697</v>
      </c>
      <c r="L222" t="s">
        <v>698</v>
      </c>
      <c r="M222" s="1">
        <f t="shared" si="3"/>
        <v>8</v>
      </c>
      <c r="N222" t="str" cm="1">
        <f t="array" ref="N222">_xlfn.SWITCH(M222,12,"Fix now",11,"Fix now",10,"Fix now",9,"Fix now",8,"Plan",7,"Plan",6,"Plan",5,"Plan",4,"Accept",3,"Accept",2,"Accept",1,"Accept",0,"Accept")</f>
        <v>Plan</v>
      </c>
    </row>
    <row r="223" spans="1:14" x14ac:dyDescent="0.3">
      <c r="A223" t="s">
        <v>630</v>
      </c>
      <c r="B223" t="s">
        <v>631</v>
      </c>
      <c r="C223" t="s">
        <v>692</v>
      </c>
      <c r="D223" t="s">
        <v>693</v>
      </c>
      <c r="E223" t="s">
        <v>98</v>
      </c>
      <c r="F223" t="s">
        <v>694</v>
      </c>
      <c r="G223" t="s">
        <v>695</v>
      </c>
      <c r="H223">
        <v>2</v>
      </c>
      <c r="I223" t="s">
        <v>696</v>
      </c>
      <c r="J223">
        <v>2</v>
      </c>
      <c r="K223" t="s">
        <v>699</v>
      </c>
      <c r="L223" t="s">
        <v>700</v>
      </c>
      <c r="M223" s="1">
        <f t="shared" si="3"/>
        <v>6</v>
      </c>
      <c r="N223" t="str" cm="1">
        <f t="array" ref="N223">_xlfn.SWITCH(M223,12,"Fix now",11,"Fix now",10,"Fix now",9,"Fix now",8,"Plan",7,"Plan",6,"Plan",5,"Plan",4,"Accept",3,"Accept",2,"Accept",1,"Accept",0,"Accept")</f>
        <v>Plan</v>
      </c>
    </row>
    <row r="224" spans="1:14" x14ac:dyDescent="0.3">
      <c r="A224" t="s">
        <v>630</v>
      </c>
      <c r="B224" t="s">
        <v>631</v>
      </c>
      <c r="C224" t="s">
        <v>692</v>
      </c>
      <c r="D224" t="s">
        <v>693</v>
      </c>
      <c r="E224" t="s">
        <v>98</v>
      </c>
      <c r="F224" t="s">
        <v>694</v>
      </c>
      <c r="G224" t="s">
        <v>695</v>
      </c>
      <c r="H224">
        <v>2</v>
      </c>
      <c r="I224" t="s">
        <v>696</v>
      </c>
      <c r="J224">
        <v>3</v>
      </c>
      <c r="K224" t="s">
        <v>701</v>
      </c>
      <c r="L224" t="s">
        <v>702</v>
      </c>
      <c r="M224" s="1">
        <f t="shared" si="3"/>
        <v>4</v>
      </c>
      <c r="N224" t="str" cm="1">
        <f t="array" ref="N224">_xlfn.SWITCH(M224,12,"Fix now",11,"Fix now",10,"Fix now",9,"Fix now",8,"Plan",7,"Plan",6,"Plan",5,"Plan",4,"Accept",3,"Accept",2,"Accept",1,"Accept",0,"Accept")</f>
        <v>Accept</v>
      </c>
    </row>
    <row r="225" spans="1:14" x14ac:dyDescent="0.3">
      <c r="A225" t="s">
        <v>630</v>
      </c>
      <c r="B225" t="s">
        <v>631</v>
      </c>
      <c r="C225" t="s">
        <v>692</v>
      </c>
      <c r="D225" t="s">
        <v>693</v>
      </c>
      <c r="E225" t="s">
        <v>98</v>
      </c>
      <c r="F225" t="s">
        <v>694</v>
      </c>
      <c r="G225" t="s">
        <v>695</v>
      </c>
      <c r="H225">
        <v>2</v>
      </c>
      <c r="I225" t="s">
        <v>696</v>
      </c>
      <c r="J225">
        <v>4</v>
      </c>
      <c r="K225" t="s">
        <v>703</v>
      </c>
      <c r="L225" t="s">
        <v>704</v>
      </c>
      <c r="M225" s="1">
        <f t="shared" si="3"/>
        <v>2</v>
      </c>
      <c r="N225" t="str" cm="1">
        <f t="array" ref="N225">_xlfn.SWITCH(M225,12,"Fix now",11,"Fix now",10,"Fix now",9,"Fix now",8,"Plan",7,"Plan",6,"Plan",5,"Plan",4,"Accept",3,"Accept",2,"Accept",1,"Accept",0,"Accept")</f>
        <v>Accept</v>
      </c>
    </row>
    <row r="226" spans="1:14" x14ac:dyDescent="0.3">
      <c r="A226" t="s">
        <v>630</v>
      </c>
      <c r="B226" t="s">
        <v>631</v>
      </c>
      <c r="C226" t="s">
        <v>692</v>
      </c>
      <c r="D226" t="s">
        <v>693</v>
      </c>
      <c r="E226" t="s">
        <v>98</v>
      </c>
      <c r="F226" t="s">
        <v>694</v>
      </c>
      <c r="G226" t="s">
        <v>695</v>
      </c>
      <c r="H226">
        <v>2</v>
      </c>
      <c r="I226" t="s">
        <v>696</v>
      </c>
      <c r="J226">
        <v>5</v>
      </c>
      <c r="K226" t="s">
        <v>705</v>
      </c>
      <c r="L226" t="s">
        <v>706</v>
      </c>
      <c r="M226" s="1">
        <f t="shared" si="3"/>
        <v>0</v>
      </c>
      <c r="N226" t="str" cm="1">
        <f t="array" ref="N226">_xlfn.SWITCH(M226,12,"Fix now",11,"Fix now",10,"Fix now",9,"Fix now",8,"Plan",7,"Plan",6,"Plan",5,"Plan",4,"Accept",3,"Accept",2,"Accept",1,"Accept",0,"Accept")</f>
        <v>Accept</v>
      </c>
    </row>
    <row r="227" spans="1:14" x14ac:dyDescent="0.3">
      <c r="A227" t="s">
        <v>707</v>
      </c>
      <c r="B227" t="s">
        <v>708</v>
      </c>
      <c r="C227" t="s">
        <v>709</v>
      </c>
      <c r="D227" t="s">
        <v>710</v>
      </c>
      <c r="E227" t="s">
        <v>98</v>
      </c>
      <c r="F227" t="s">
        <v>711</v>
      </c>
      <c r="G227" t="s">
        <v>712</v>
      </c>
      <c r="H227">
        <v>3</v>
      </c>
      <c r="I227" t="s">
        <v>713</v>
      </c>
      <c r="J227">
        <v>1</v>
      </c>
      <c r="K227" t="s">
        <v>714</v>
      </c>
      <c r="L227" t="s">
        <v>715</v>
      </c>
      <c r="M227" s="1">
        <f t="shared" si="3"/>
        <v>12</v>
      </c>
      <c r="N227" t="str" cm="1">
        <f t="array" ref="N227">_xlfn.SWITCH(M227,12,"Fix now",11,"Fix now",10,"Fix now",9,"Fix now",8,"Plan",7,"Plan",6,"Plan",5,"Plan",4,"Accept",3,"Accept",2,"Accept",1,"Accept",0,"Accept")</f>
        <v>Fix now</v>
      </c>
    </row>
    <row r="228" spans="1:14" x14ac:dyDescent="0.3">
      <c r="A228" t="s">
        <v>707</v>
      </c>
      <c r="B228" t="s">
        <v>708</v>
      </c>
      <c r="C228" t="s">
        <v>709</v>
      </c>
      <c r="D228" t="s">
        <v>710</v>
      </c>
      <c r="E228" t="s">
        <v>98</v>
      </c>
      <c r="F228" t="s">
        <v>711</v>
      </c>
      <c r="G228" t="s">
        <v>712</v>
      </c>
      <c r="H228">
        <v>3</v>
      </c>
      <c r="I228" t="s">
        <v>713</v>
      </c>
      <c r="J228">
        <v>2</v>
      </c>
      <c r="K228" t="s">
        <v>716</v>
      </c>
      <c r="L228" t="s">
        <v>717</v>
      </c>
      <c r="M228" s="1">
        <f t="shared" si="3"/>
        <v>9</v>
      </c>
      <c r="N228" t="str" cm="1">
        <f t="array" ref="N228">_xlfn.SWITCH(M228,12,"Fix now",11,"Fix now",10,"Fix now",9,"Fix now",8,"Plan",7,"Plan",6,"Plan",5,"Plan",4,"Accept",3,"Accept",2,"Accept",1,"Accept",0,"Accept")</f>
        <v>Fix now</v>
      </c>
    </row>
    <row r="229" spans="1:14" x14ac:dyDescent="0.3">
      <c r="A229" t="s">
        <v>707</v>
      </c>
      <c r="B229" t="s">
        <v>708</v>
      </c>
      <c r="C229" t="s">
        <v>709</v>
      </c>
      <c r="D229" t="s">
        <v>710</v>
      </c>
      <c r="E229" t="s">
        <v>98</v>
      </c>
      <c r="F229" t="s">
        <v>711</v>
      </c>
      <c r="G229" t="s">
        <v>712</v>
      </c>
      <c r="H229">
        <v>3</v>
      </c>
      <c r="I229" t="s">
        <v>713</v>
      </c>
      <c r="J229">
        <v>3</v>
      </c>
      <c r="K229" t="s">
        <v>718</v>
      </c>
      <c r="L229" t="s">
        <v>719</v>
      </c>
      <c r="M229" s="1">
        <f t="shared" si="3"/>
        <v>6</v>
      </c>
      <c r="N229" t="str" cm="1">
        <f t="array" ref="N229">_xlfn.SWITCH(M229,12,"Fix now",11,"Fix now",10,"Fix now",9,"Fix now",8,"Plan",7,"Plan",6,"Plan",5,"Plan",4,"Accept",3,"Accept",2,"Accept",1,"Accept",0,"Accept")</f>
        <v>Plan</v>
      </c>
    </row>
    <row r="230" spans="1:14" x14ac:dyDescent="0.3">
      <c r="A230" t="s">
        <v>707</v>
      </c>
      <c r="B230" t="s">
        <v>708</v>
      </c>
      <c r="C230" t="s">
        <v>709</v>
      </c>
      <c r="D230" t="s">
        <v>710</v>
      </c>
      <c r="E230" t="s">
        <v>98</v>
      </c>
      <c r="F230" t="s">
        <v>711</v>
      </c>
      <c r="G230" t="s">
        <v>712</v>
      </c>
      <c r="H230">
        <v>3</v>
      </c>
      <c r="I230" t="s">
        <v>713</v>
      </c>
      <c r="J230">
        <v>4</v>
      </c>
      <c r="K230" t="s">
        <v>720</v>
      </c>
      <c r="L230" t="s">
        <v>721</v>
      </c>
      <c r="M230" s="1">
        <f t="shared" si="3"/>
        <v>3</v>
      </c>
      <c r="N230" t="str" cm="1">
        <f t="array" ref="N230">_xlfn.SWITCH(M230,12,"Fix now",11,"Fix now",10,"Fix now",9,"Fix now",8,"Plan",7,"Plan",6,"Plan",5,"Plan",4,"Accept",3,"Accept",2,"Accept",1,"Accept",0,"Accept")</f>
        <v>Accept</v>
      </c>
    </row>
    <row r="231" spans="1:14" x14ac:dyDescent="0.3">
      <c r="A231" t="s">
        <v>707</v>
      </c>
      <c r="B231" t="s">
        <v>708</v>
      </c>
      <c r="C231" t="s">
        <v>709</v>
      </c>
      <c r="D231" t="s">
        <v>710</v>
      </c>
      <c r="E231" t="s">
        <v>98</v>
      </c>
      <c r="F231" t="s">
        <v>711</v>
      </c>
      <c r="G231" t="s">
        <v>712</v>
      </c>
      <c r="H231">
        <v>3</v>
      </c>
      <c r="I231" t="s">
        <v>713</v>
      </c>
      <c r="J231">
        <v>5</v>
      </c>
      <c r="K231" t="s">
        <v>722</v>
      </c>
      <c r="L231" t="s">
        <v>723</v>
      </c>
      <c r="M231" s="1">
        <f t="shared" si="3"/>
        <v>0</v>
      </c>
      <c r="N231" t="str" cm="1">
        <f t="array" ref="N231">_xlfn.SWITCH(M231,12,"Fix now",11,"Fix now",10,"Fix now",9,"Fix now",8,"Plan",7,"Plan",6,"Plan",5,"Plan",4,"Accept",3,"Accept",2,"Accept",1,"Accept",0,"Accept")</f>
        <v>Accept</v>
      </c>
    </row>
    <row r="232" spans="1:14" x14ac:dyDescent="0.3">
      <c r="A232" t="s">
        <v>707</v>
      </c>
      <c r="B232" t="s">
        <v>708</v>
      </c>
      <c r="C232" t="s">
        <v>724</v>
      </c>
      <c r="D232" t="s">
        <v>725</v>
      </c>
      <c r="E232" t="s">
        <v>98</v>
      </c>
      <c r="F232" t="s">
        <v>726</v>
      </c>
      <c r="G232" t="s">
        <v>727</v>
      </c>
      <c r="H232">
        <v>3</v>
      </c>
      <c r="I232" t="s">
        <v>728</v>
      </c>
      <c r="J232">
        <v>1</v>
      </c>
      <c r="K232" t="s">
        <v>729</v>
      </c>
      <c r="L232" t="s">
        <v>730</v>
      </c>
      <c r="M232" s="1">
        <f t="shared" si="3"/>
        <v>12</v>
      </c>
      <c r="N232" t="str" cm="1">
        <f t="array" ref="N232">_xlfn.SWITCH(M232,12,"Fix now",11,"Fix now",10,"Fix now",9,"Fix now",8,"Plan",7,"Plan",6,"Plan",5,"Plan",4,"Accept",3,"Accept",2,"Accept",1,"Accept",0,"Accept")</f>
        <v>Fix now</v>
      </c>
    </row>
    <row r="233" spans="1:14" x14ac:dyDescent="0.3">
      <c r="A233" t="s">
        <v>707</v>
      </c>
      <c r="B233" t="s">
        <v>708</v>
      </c>
      <c r="C233" t="s">
        <v>724</v>
      </c>
      <c r="D233" t="s">
        <v>725</v>
      </c>
      <c r="E233" t="s">
        <v>98</v>
      </c>
      <c r="F233" t="s">
        <v>726</v>
      </c>
      <c r="G233" t="s">
        <v>727</v>
      </c>
      <c r="H233">
        <v>3</v>
      </c>
      <c r="I233" t="s">
        <v>728</v>
      </c>
      <c r="J233">
        <v>2</v>
      </c>
      <c r="K233" t="s">
        <v>731</v>
      </c>
      <c r="L233" t="s">
        <v>732</v>
      </c>
      <c r="M233" s="1">
        <f t="shared" si="3"/>
        <v>9</v>
      </c>
      <c r="N233" t="str" cm="1">
        <f t="array" ref="N233">_xlfn.SWITCH(M233,12,"Fix now",11,"Fix now",10,"Fix now",9,"Fix now",8,"Plan",7,"Plan",6,"Plan",5,"Plan",4,"Accept",3,"Accept",2,"Accept",1,"Accept",0,"Accept")</f>
        <v>Fix now</v>
      </c>
    </row>
    <row r="234" spans="1:14" x14ac:dyDescent="0.3">
      <c r="A234" t="s">
        <v>707</v>
      </c>
      <c r="B234" t="s">
        <v>708</v>
      </c>
      <c r="C234" t="s">
        <v>724</v>
      </c>
      <c r="D234" t="s">
        <v>725</v>
      </c>
      <c r="E234" t="s">
        <v>98</v>
      </c>
      <c r="F234" t="s">
        <v>726</v>
      </c>
      <c r="G234" t="s">
        <v>727</v>
      </c>
      <c r="H234">
        <v>3</v>
      </c>
      <c r="I234" t="s">
        <v>728</v>
      </c>
      <c r="J234">
        <v>3</v>
      </c>
      <c r="K234" t="s">
        <v>733</v>
      </c>
      <c r="L234" t="s">
        <v>734</v>
      </c>
      <c r="M234" s="1">
        <f t="shared" si="3"/>
        <v>6</v>
      </c>
      <c r="N234" t="str" cm="1">
        <f t="array" ref="N234">_xlfn.SWITCH(M234,12,"Fix now",11,"Fix now",10,"Fix now",9,"Fix now",8,"Plan",7,"Plan",6,"Plan",5,"Plan",4,"Accept",3,"Accept",2,"Accept",1,"Accept",0,"Accept")</f>
        <v>Plan</v>
      </c>
    </row>
    <row r="235" spans="1:14" x14ac:dyDescent="0.3">
      <c r="A235" t="s">
        <v>707</v>
      </c>
      <c r="B235" t="s">
        <v>708</v>
      </c>
      <c r="C235" t="s">
        <v>724</v>
      </c>
      <c r="D235" t="s">
        <v>725</v>
      </c>
      <c r="E235" t="s">
        <v>98</v>
      </c>
      <c r="F235" t="s">
        <v>726</v>
      </c>
      <c r="G235" t="s">
        <v>727</v>
      </c>
      <c r="H235">
        <v>3</v>
      </c>
      <c r="I235" t="s">
        <v>728</v>
      </c>
      <c r="J235">
        <v>4</v>
      </c>
      <c r="K235" t="s">
        <v>735</v>
      </c>
      <c r="L235" t="s">
        <v>736</v>
      </c>
      <c r="M235" s="1">
        <f t="shared" si="3"/>
        <v>3</v>
      </c>
      <c r="N235" t="str" cm="1">
        <f t="array" ref="N235">_xlfn.SWITCH(M235,12,"Fix now",11,"Fix now",10,"Fix now",9,"Fix now",8,"Plan",7,"Plan",6,"Plan",5,"Plan",4,"Accept",3,"Accept",2,"Accept",1,"Accept",0,"Accept")</f>
        <v>Accept</v>
      </c>
    </row>
    <row r="236" spans="1:14" x14ac:dyDescent="0.3">
      <c r="A236" t="s">
        <v>707</v>
      </c>
      <c r="B236" t="s">
        <v>708</v>
      </c>
      <c r="C236" t="s">
        <v>724</v>
      </c>
      <c r="D236" t="s">
        <v>725</v>
      </c>
      <c r="E236" t="s">
        <v>98</v>
      </c>
      <c r="F236" t="s">
        <v>726</v>
      </c>
      <c r="G236" t="s">
        <v>727</v>
      </c>
      <c r="H236">
        <v>3</v>
      </c>
      <c r="I236" t="s">
        <v>728</v>
      </c>
      <c r="J236">
        <v>5</v>
      </c>
      <c r="K236" t="s">
        <v>737</v>
      </c>
      <c r="L236" t="s">
        <v>738</v>
      </c>
      <c r="M236" s="1">
        <f t="shared" si="3"/>
        <v>0</v>
      </c>
      <c r="N236" t="str" cm="1">
        <f t="array" ref="N236">_xlfn.SWITCH(M236,12,"Fix now",11,"Fix now",10,"Fix now",9,"Fix now",8,"Plan",7,"Plan",6,"Plan",5,"Plan",4,"Accept",3,"Accept",2,"Accept",1,"Accept",0,"Accept")</f>
        <v>Accept</v>
      </c>
    </row>
    <row r="237" spans="1:14" x14ac:dyDescent="0.3">
      <c r="A237" t="s">
        <v>707</v>
      </c>
      <c r="B237" t="s">
        <v>708</v>
      </c>
      <c r="C237" t="s">
        <v>739</v>
      </c>
      <c r="D237" t="s">
        <v>740</v>
      </c>
      <c r="E237" t="s">
        <v>98</v>
      </c>
      <c r="F237" t="s">
        <v>741</v>
      </c>
      <c r="G237" t="s">
        <v>742</v>
      </c>
      <c r="H237">
        <v>3</v>
      </c>
      <c r="I237" t="s">
        <v>743</v>
      </c>
      <c r="J237">
        <v>1</v>
      </c>
      <c r="K237" t="s">
        <v>744</v>
      </c>
      <c r="L237" t="s">
        <v>745</v>
      </c>
      <c r="M237" s="1">
        <f t="shared" si="3"/>
        <v>12</v>
      </c>
      <c r="N237" t="str" cm="1">
        <f t="array" ref="N237">_xlfn.SWITCH(M237,12,"Fix now",11,"Fix now",10,"Fix now",9,"Fix now",8,"Plan",7,"Plan",6,"Plan",5,"Plan",4,"Accept",3,"Accept",2,"Accept",1,"Accept",0,"Accept")</f>
        <v>Fix now</v>
      </c>
    </row>
    <row r="238" spans="1:14" x14ac:dyDescent="0.3">
      <c r="A238" t="s">
        <v>707</v>
      </c>
      <c r="B238" t="s">
        <v>708</v>
      </c>
      <c r="C238" t="s">
        <v>739</v>
      </c>
      <c r="D238" t="s">
        <v>740</v>
      </c>
      <c r="E238" t="s">
        <v>98</v>
      </c>
      <c r="F238" t="s">
        <v>741</v>
      </c>
      <c r="G238" t="s">
        <v>742</v>
      </c>
      <c r="H238">
        <v>3</v>
      </c>
      <c r="I238" t="s">
        <v>743</v>
      </c>
      <c r="J238">
        <v>2</v>
      </c>
      <c r="K238" t="s">
        <v>746</v>
      </c>
      <c r="L238" t="s">
        <v>747</v>
      </c>
      <c r="M238" s="1">
        <f t="shared" si="3"/>
        <v>9</v>
      </c>
      <c r="N238" t="str" cm="1">
        <f t="array" ref="N238">_xlfn.SWITCH(M238,12,"Fix now",11,"Fix now",10,"Fix now",9,"Fix now",8,"Plan",7,"Plan",6,"Plan",5,"Plan",4,"Accept",3,"Accept",2,"Accept",1,"Accept",0,"Accept")</f>
        <v>Fix now</v>
      </c>
    </row>
    <row r="239" spans="1:14" x14ac:dyDescent="0.3">
      <c r="A239" t="s">
        <v>707</v>
      </c>
      <c r="B239" t="s">
        <v>708</v>
      </c>
      <c r="C239" t="s">
        <v>739</v>
      </c>
      <c r="D239" t="s">
        <v>740</v>
      </c>
      <c r="E239" t="s">
        <v>98</v>
      </c>
      <c r="F239" t="s">
        <v>741</v>
      </c>
      <c r="G239" t="s">
        <v>742</v>
      </c>
      <c r="H239">
        <v>3</v>
      </c>
      <c r="I239" t="s">
        <v>743</v>
      </c>
      <c r="J239">
        <v>3</v>
      </c>
      <c r="K239" t="s">
        <v>748</v>
      </c>
      <c r="L239" t="s">
        <v>749</v>
      </c>
      <c r="M239" s="1">
        <f t="shared" si="3"/>
        <v>6</v>
      </c>
      <c r="N239" t="str" cm="1">
        <f t="array" ref="N239">_xlfn.SWITCH(M239,12,"Fix now",11,"Fix now",10,"Fix now",9,"Fix now",8,"Plan",7,"Plan",6,"Plan",5,"Plan",4,"Accept",3,"Accept",2,"Accept",1,"Accept",0,"Accept")</f>
        <v>Plan</v>
      </c>
    </row>
    <row r="240" spans="1:14" x14ac:dyDescent="0.3">
      <c r="A240" t="s">
        <v>707</v>
      </c>
      <c r="B240" t="s">
        <v>708</v>
      </c>
      <c r="C240" t="s">
        <v>739</v>
      </c>
      <c r="D240" t="s">
        <v>740</v>
      </c>
      <c r="E240" t="s">
        <v>98</v>
      </c>
      <c r="F240" t="s">
        <v>741</v>
      </c>
      <c r="G240" t="s">
        <v>742</v>
      </c>
      <c r="H240">
        <v>3</v>
      </c>
      <c r="I240" t="s">
        <v>743</v>
      </c>
      <c r="J240">
        <v>4</v>
      </c>
      <c r="K240" t="s">
        <v>750</v>
      </c>
      <c r="L240" t="s">
        <v>751</v>
      </c>
      <c r="M240" s="1">
        <f t="shared" si="3"/>
        <v>3</v>
      </c>
      <c r="N240" t="str" cm="1">
        <f t="array" ref="N240">_xlfn.SWITCH(M240,12,"Fix now",11,"Fix now",10,"Fix now",9,"Fix now",8,"Plan",7,"Plan",6,"Plan",5,"Plan",4,"Accept",3,"Accept",2,"Accept",1,"Accept",0,"Accept")</f>
        <v>Accept</v>
      </c>
    </row>
    <row r="241" spans="1:14" x14ac:dyDescent="0.3">
      <c r="A241" t="s">
        <v>707</v>
      </c>
      <c r="B241" t="s">
        <v>708</v>
      </c>
      <c r="C241" t="s">
        <v>739</v>
      </c>
      <c r="D241" t="s">
        <v>740</v>
      </c>
      <c r="E241" t="s">
        <v>98</v>
      </c>
      <c r="F241" t="s">
        <v>741</v>
      </c>
      <c r="G241" t="s">
        <v>742</v>
      </c>
      <c r="H241">
        <v>3</v>
      </c>
      <c r="I241" t="s">
        <v>743</v>
      </c>
      <c r="J241">
        <v>5</v>
      </c>
      <c r="K241" t="s">
        <v>752</v>
      </c>
      <c r="L241" t="s">
        <v>753</v>
      </c>
      <c r="M241" s="1">
        <f t="shared" si="3"/>
        <v>0</v>
      </c>
      <c r="N241" t="str" cm="1">
        <f t="array" ref="N241">_xlfn.SWITCH(M241,12,"Fix now",11,"Fix now",10,"Fix now",9,"Fix now",8,"Plan",7,"Plan",6,"Plan",5,"Plan",4,"Accept",3,"Accept",2,"Accept",1,"Accept",0,"Accept")</f>
        <v>Accept</v>
      </c>
    </row>
    <row r="242" spans="1:14" x14ac:dyDescent="0.3">
      <c r="A242" t="s">
        <v>707</v>
      </c>
      <c r="B242" t="s">
        <v>708</v>
      </c>
      <c r="C242" t="s">
        <v>754</v>
      </c>
      <c r="D242" t="s">
        <v>755</v>
      </c>
      <c r="E242" t="s">
        <v>98</v>
      </c>
      <c r="F242" t="s">
        <v>756</v>
      </c>
      <c r="G242" t="s">
        <v>757</v>
      </c>
      <c r="H242">
        <v>2</v>
      </c>
      <c r="I242" t="s">
        <v>758</v>
      </c>
      <c r="J242">
        <v>1</v>
      </c>
      <c r="K242" t="s">
        <v>759</v>
      </c>
      <c r="L242" t="s">
        <v>760</v>
      </c>
      <c r="M242" s="1">
        <f t="shared" si="3"/>
        <v>8</v>
      </c>
      <c r="N242" t="str" cm="1">
        <f t="array" ref="N242">_xlfn.SWITCH(M242,12,"Fix now",11,"Fix now",10,"Fix now",9,"Fix now",8,"Plan",7,"Plan",6,"Plan",5,"Plan",4,"Accept",3,"Accept",2,"Accept",1,"Accept",0,"Accept")</f>
        <v>Plan</v>
      </c>
    </row>
    <row r="243" spans="1:14" x14ac:dyDescent="0.3">
      <c r="A243" t="s">
        <v>707</v>
      </c>
      <c r="B243" t="s">
        <v>708</v>
      </c>
      <c r="C243" t="s">
        <v>754</v>
      </c>
      <c r="D243" t="s">
        <v>755</v>
      </c>
      <c r="E243" t="s">
        <v>98</v>
      </c>
      <c r="F243" t="s">
        <v>756</v>
      </c>
      <c r="G243" t="s">
        <v>757</v>
      </c>
      <c r="H243">
        <v>2</v>
      </c>
      <c r="I243" t="s">
        <v>758</v>
      </c>
      <c r="J243">
        <v>2</v>
      </c>
      <c r="K243" t="s">
        <v>761</v>
      </c>
      <c r="L243" t="s">
        <v>762</v>
      </c>
      <c r="M243" s="1">
        <f t="shared" si="3"/>
        <v>6</v>
      </c>
      <c r="N243" t="str" cm="1">
        <f t="array" ref="N243">_xlfn.SWITCH(M243,12,"Fix now",11,"Fix now",10,"Fix now",9,"Fix now",8,"Plan",7,"Plan",6,"Plan",5,"Plan",4,"Accept",3,"Accept",2,"Accept",1,"Accept",0,"Accept")</f>
        <v>Plan</v>
      </c>
    </row>
    <row r="244" spans="1:14" x14ac:dyDescent="0.3">
      <c r="A244" t="s">
        <v>707</v>
      </c>
      <c r="B244" t="s">
        <v>708</v>
      </c>
      <c r="C244" t="s">
        <v>754</v>
      </c>
      <c r="D244" t="s">
        <v>755</v>
      </c>
      <c r="E244" t="s">
        <v>98</v>
      </c>
      <c r="F244" t="s">
        <v>756</v>
      </c>
      <c r="G244" t="s">
        <v>757</v>
      </c>
      <c r="H244">
        <v>2</v>
      </c>
      <c r="I244" t="s">
        <v>758</v>
      </c>
      <c r="J244">
        <v>3</v>
      </c>
      <c r="K244" t="s">
        <v>763</v>
      </c>
      <c r="L244" t="s">
        <v>764</v>
      </c>
      <c r="M244" s="1">
        <f t="shared" si="3"/>
        <v>4</v>
      </c>
      <c r="N244" t="str" cm="1">
        <f t="array" ref="N244">_xlfn.SWITCH(M244,12,"Fix now",11,"Fix now",10,"Fix now",9,"Fix now",8,"Plan",7,"Plan",6,"Plan",5,"Plan",4,"Accept",3,"Accept",2,"Accept",1,"Accept",0,"Accept")</f>
        <v>Accept</v>
      </c>
    </row>
    <row r="245" spans="1:14" x14ac:dyDescent="0.3">
      <c r="A245" t="s">
        <v>707</v>
      </c>
      <c r="B245" t="s">
        <v>708</v>
      </c>
      <c r="C245" t="s">
        <v>754</v>
      </c>
      <c r="D245" t="s">
        <v>755</v>
      </c>
      <c r="E245" t="s">
        <v>98</v>
      </c>
      <c r="F245" t="s">
        <v>756</v>
      </c>
      <c r="G245" t="s">
        <v>757</v>
      </c>
      <c r="H245">
        <v>2</v>
      </c>
      <c r="I245" t="s">
        <v>758</v>
      </c>
      <c r="J245">
        <v>4</v>
      </c>
      <c r="K245" t="s">
        <v>765</v>
      </c>
      <c r="L245" t="s">
        <v>766</v>
      </c>
      <c r="M245" s="1">
        <f t="shared" si="3"/>
        <v>2</v>
      </c>
      <c r="N245" t="str" cm="1">
        <f t="array" ref="N245">_xlfn.SWITCH(M245,12,"Fix now",11,"Fix now",10,"Fix now",9,"Fix now",8,"Plan",7,"Plan",6,"Plan",5,"Plan",4,"Accept",3,"Accept",2,"Accept",1,"Accept",0,"Accept")</f>
        <v>Accept</v>
      </c>
    </row>
    <row r="246" spans="1:14" x14ac:dyDescent="0.3">
      <c r="A246" t="s">
        <v>707</v>
      </c>
      <c r="B246" t="s">
        <v>708</v>
      </c>
      <c r="C246" t="s">
        <v>754</v>
      </c>
      <c r="D246" t="s">
        <v>755</v>
      </c>
      <c r="E246" t="s">
        <v>98</v>
      </c>
      <c r="F246" t="s">
        <v>756</v>
      </c>
      <c r="G246" t="s">
        <v>757</v>
      </c>
      <c r="H246">
        <v>2</v>
      </c>
      <c r="I246" t="s">
        <v>758</v>
      </c>
      <c r="J246">
        <v>5</v>
      </c>
      <c r="K246" t="s">
        <v>767</v>
      </c>
      <c r="L246" t="s">
        <v>768</v>
      </c>
      <c r="M246" s="1">
        <f t="shared" si="3"/>
        <v>0</v>
      </c>
      <c r="N246" t="str" cm="1">
        <f t="array" ref="N246">_xlfn.SWITCH(M246,12,"Fix now",11,"Fix now",10,"Fix now",9,"Fix now",8,"Plan",7,"Plan",6,"Plan",5,"Plan",4,"Accept",3,"Accept",2,"Accept",1,"Accept",0,"Accept")</f>
        <v>Accept</v>
      </c>
    </row>
    <row r="247" spans="1:14" x14ac:dyDescent="0.3">
      <c r="A247" t="s">
        <v>707</v>
      </c>
      <c r="B247" t="s">
        <v>708</v>
      </c>
      <c r="C247" t="s">
        <v>769</v>
      </c>
      <c r="D247" t="s">
        <v>770</v>
      </c>
      <c r="E247" t="s">
        <v>98</v>
      </c>
      <c r="F247" t="s">
        <v>771</v>
      </c>
      <c r="G247" t="s">
        <v>772</v>
      </c>
      <c r="H247">
        <v>2</v>
      </c>
      <c r="I247" t="s">
        <v>773</v>
      </c>
      <c r="J247">
        <v>1</v>
      </c>
      <c r="K247" t="s">
        <v>774</v>
      </c>
      <c r="L247" t="s">
        <v>775</v>
      </c>
      <c r="M247" s="1">
        <f t="shared" si="3"/>
        <v>8</v>
      </c>
      <c r="N247" t="str" cm="1">
        <f t="array" ref="N247">_xlfn.SWITCH(M247,12,"Fix now",11,"Fix now",10,"Fix now",9,"Fix now",8,"Plan",7,"Plan",6,"Plan",5,"Plan",4,"Accept",3,"Accept",2,"Accept",1,"Accept",0,"Accept")</f>
        <v>Plan</v>
      </c>
    </row>
    <row r="248" spans="1:14" x14ac:dyDescent="0.3">
      <c r="A248" t="s">
        <v>707</v>
      </c>
      <c r="B248" t="s">
        <v>708</v>
      </c>
      <c r="C248" t="s">
        <v>769</v>
      </c>
      <c r="D248" t="s">
        <v>770</v>
      </c>
      <c r="E248" t="s">
        <v>98</v>
      </c>
      <c r="F248" t="s">
        <v>771</v>
      </c>
      <c r="G248" t="s">
        <v>772</v>
      </c>
      <c r="H248">
        <v>2</v>
      </c>
      <c r="I248" t="s">
        <v>773</v>
      </c>
      <c r="J248">
        <v>2</v>
      </c>
      <c r="K248" t="s">
        <v>776</v>
      </c>
      <c r="L248" t="s">
        <v>777</v>
      </c>
      <c r="M248" s="1">
        <f t="shared" si="3"/>
        <v>6</v>
      </c>
      <c r="N248" t="str" cm="1">
        <f t="array" ref="N248">_xlfn.SWITCH(M248,12,"Fix now",11,"Fix now",10,"Fix now",9,"Fix now",8,"Plan",7,"Plan",6,"Plan",5,"Plan",4,"Accept",3,"Accept",2,"Accept",1,"Accept",0,"Accept")</f>
        <v>Plan</v>
      </c>
    </row>
    <row r="249" spans="1:14" x14ac:dyDescent="0.3">
      <c r="A249" t="s">
        <v>707</v>
      </c>
      <c r="B249" t="s">
        <v>708</v>
      </c>
      <c r="C249" t="s">
        <v>769</v>
      </c>
      <c r="D249" t="s">
        <v>770</v>
      </c>
      <c r="E249" t="s">
        <v>98</v>
      </c>
      <c r="F249" t="s">
        <v>771</v>
      </c>
      <c r="G249" t="s">
        <v>772</v>
      </c>
      <c r="H249">
        <v>2</v>
      </c>
      <c r="I249" t="s">
        <v>773</v>
      </c>
      <c r="J249">
        <v>3</v>
      </c>
      <c r="K249" t="s">
        <v>778</v>
      </c>
      <c r="L249" t="s">
        <v>779</v>
      </c>
      <c r="M249" s="1">
        <f t="shared" si="3"/>
        <v>4</v>
      </c>
      <c r="N249" t="str" cm="1">
        <f t="array" ref="N249">_xlfn.SWITCH(M249,12,"Fix now",11,"Fix now",10,"Fix now",9,"Fix now",8,"Plan",7,"Plan",6,"Plan",5,"Plan",4,"Accept",3,"Accept",2,"Accept",1,"Accept",0,"Accept")</f>
        <v>Accept</v>
      </c>
    </row>
    <row r="250" spans="1:14" x14ac:dyDescent="0.3">
      <c r="A250" t="s">
        <v>707</v>
      </c>
      <c r="B250" t="s">
        <v>708</v>
      </c>
      <c r="C250" t="s">
        <v>769</v>
      </c>
      <c r="D250" t="s">
        <v>770</v>
      </c>
      <c r="E250" t="s">
        <v>98</v>
      </c>
      <c r="F250" t="s">
        <v>771</v>
      </c>
      <c r="G250" t="s">
        <v>772</v>
      </c>
      <c r="H250">
        <v>2</v>
      </c>
      <c r="I250" t="s">
        <v>773</v>
      </c>
      <c r="J250">
        <v>4</v>
      </c>
      <c r="K250" t="s">
        <v>780</v>
      </c>
      <c r="L250" t="s">
        <v>781</v>
      </c>
      <c r="M250" s="1">
        <f t="shared" si="3"/>
        <v>2</v>
      </c>
      <c r="N250" t="str" cm="1">
        <f t="array" ref="N250">_xlfn.SWITCH(M250,12,"Fix now",11,"Fix now",10,"Fix now",9,"Fix now",8,"Plan",7,"Plan",6,"Plan",5,"Plan",4,"Accept",3,"Accept",2,"Accept",1,"Accept",0,"Accept")</f>
        <v>Accept</v>
      </c>
    </row>
    <row r="251" spans="1:14" x14ac:dyDescent="0.3">
      <c r="A251" t="s">
        <v>707</v>
      </c>
      <c r="B251" t="s">
        <v>708</v>
      </c>
      <c r="C251" t="s">
        <v>769</v>
      </c>
      <c r="D251" t="s">
        <v>770</v>
      </c>
      <c r="E251" t="s">
        <v>98</v>
      </c>
      <c r="F251" t="s">
        <v>771</v>
      </c>
      <c r="G251" t="s">
        <v>772</v>
      </c>
      <c r="H251">
        <v>2</v>
      </c>
      <c r="I251" t="s">
        <v>773</v>
      </c>
      <c r="J251">
        <v>5</v>
      </c>
      <c r="K251" t="s">
        <v>782</v>
      </c>
      <c r="L251" t="s">
        <v>783</v>
      </c>
      <c r="M251" s="1">
        <f t="shared" si="3"/>
        <v>0</v>
      </c>
      <c r="N251" t="str" cm="1">
        <f t="array" ref="N251">_xlfn.SWITCH(M251,12,"Fix now",11,"Fix now",10,"Fix now",9,"Fix now",8,"Plan",7,"Plan",6,"Plan",5,"Plan",4,"Accept",3,"Accept",2,"Accept",1,"Accept",0,"Accept")</f>
        <v>Accept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Kristína Bachová</dc:creator>
  <cp:lastModifiedBy>Kristína Bachová</cp:lastModifiedBy>
  <dcterms:created xsi:type="dcterms:W3CDTF">2026-01-28T10:19:52Z</dcterms:created>
  <dcterms:modified xsi:type="dcterms:W3CDTF">2026-01-28T13:50:21Z</dcterms:modified>
</cp:coreProperties>
</file>