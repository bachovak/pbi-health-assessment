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krb\Claude Code Projects\Power BI Health Assessment App\"/>
    </mc:Choice>
  </mc:AlternateContent>
  <xr:revisionPtr revIDLastSave="0" documentId="13_ncr:1_{DD5A3C83-354D-4FA4-9A83-91AB37AFECEF}" xr6:coauthVersionLast="47" xr6:coauthVersionMax="47" xr10:uidLastSave="{00000000-0000-0000-0000-000000000000}"/>
  <bookViews>
    <workbookView xWindow="2688" yWindow="2688" windowWidth="17280" windowHeight="8964" xr2:uid="{BDD7ADA1-7902-43EF-92B2-1A417B3FF5D8}"/>
  </bookViews>
  <sheets>
    <sheet name="Data" sheetId="5"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5" l="1"/>
  <c r="N3" i="5" s="1" a="1"/>
  <c r="N3" i="5" s="1"/>
  <c r="M4" i="5"/>
  <c r="N4" i="5" a="1"/>
  <c r="N4" i="5" s="1"/>
  <c r="M5" i="5"/>
  <c r="N5" i="5" a="1"/>
  <c r="N5" i="5" s="1"/>
  <c r="M6" i="5"/>
  <c r="N6" i="5" a="1"/>
  <c r="N6" i="5" s="1"/>
  <c r="M7" i="5"/>
  <c r="N7" i="5" s="1" a="1"/>
  <c r="N7" i="5" s="1"/>
  <c r="M8" i="5"/>
  <c r="N8" i="5" a="1"/>
  <c r="N8" i="5" s="1"/>
  <c r="M9" i="5"/>
  <c r="N9" i="5" a="1"/>
  <c r="N9" i="5" s="1"/>
  <c r="M10" i="5"/>
  <c r="N10" i="5" a="1"/>
  <c r="N10" i="5" s="1"/>
  <c r="M11" i="5"/>
  <c r="N11" i="5" s="1" a="1"/>
  <c r="N11" i="5" s="1"/>
  <c r="M12" i="5"/>
  <c r="N12" i="5" a="1"/>
  <c r="N12" i="5" s="1"/>
  <c r="M13" i="5"/>
  <c r="N13" i="5" a="1"/>
  <c r="N13" i="5" s="1"/>
  <c r="M14" i="5"/>
  <c r="N14" i="5" a="1"/>
  <c r="N14" i="5" s="1"/>
  <c r="M15" i="5"/>
  <c r="N15" i="5" s="1" a="1"/>
  <c r="N15" i="5" s="1"/>
  <c r="M16" i="5"/>
  <c r="N16" i="5" a="1"/>
  <c r="N16" i="5" s="1"/>
  <c r="M17" i="5"/>
  <c r="N17" i="5" a="1"/>
  <c r="N17" i="5" s="1"/>
  <c r="M18" i="5"/>
  <c r="N18" i="5" a="1"/>
  <c r="N18" i="5" s="1"/>
  <c r="M19" i="5"/>
  <c r="N19" i="5" s="1" a="1"/>
  <c r="N19" i="5" s="1"/>
  <c r="M20" i="5"/>
  <c r="N20" i="5" a="1"/>
  <c r="N20" i="5" s="1"/>
  <c r="M21" i="5"/>
  <c r="N21" i="5" a="1"/>
  <c r="N21" i="5" s="1"/>
  <c r="M22" i="5"/>
  <c r="N22" i="5" a="1"/>
  <c r="N22" i="5" s="1"/>
  <c r="M23" i="5"/>
  <c r="N23" i="5" s="1" a="1"/>
  <c r="N23" i="5" s="1"/>
  <c r="M24" i="5"/>
  <c r="N24" i="5" a="1"/>
  <c r="N24" i="5" s="1"/>
  <c r="M25" i="5"/>
  <c r="N25" i="5" a="1"/>
  <c r="N25" i="5" s="1"/>
  <c r="M26" i="5"/>
  <c r="N26" i="5" a="1"/>
  <c r="N26" i="5" s="1"/>
  <c r="M27" i="5"/>
  <c r="N27" i="5" s="1" a="1"/>
  <c r="N27" i="5" s="1"/>
  <c r="M28" i="5"/>
  <c r="N28" i="5" a="1"/>
  <c r="N28" i="5" s="1"/>
  <c r="M29" i="5"/>
  <c r="N29" i="5" a="1"/>
  <c r="N29" i="5" s="1"/>
  <c r="M30" i="5"/>
  <c r="N30" i="5" a="1"/>
  <c r="N30" i="5" s="1"/>
  <c r="M31" i="5"/>
  <c r="N31" i="5" s="1" a="1"/>
  <c r="N31" i="5" s="1"/>
  <c r="M32" i="5"/>
  <c r="N32" i="5" a="1"/>
  <c r="N32" i="5" s="1"/>
  <c r="M33" i="5"/>
  <c r="N33" i="5" a="1"/>
  <c r="N33" i="5" s="1"/>
  <c r="M34" i="5"/>
  <c r="N34" i="5" a="1"/>
  <c r="N34" i="5" s="1"/>
  <c r="M35" i="5"/>
  <c r="N35" i="5" s="1" a="1"/>
  <c r="N35" i="5" s="1"/>
  <c r="M36" i="5"/>
  <c r="N36" i="5" a="1"/>
  <c r="N36" i="5" s="1"/>
  <c r="M37" i="5"/>
  <c r="N37" i="5" a="1"/>
  <c r="N37" i="5" s="1"/>
  <c r="M38" i="5"/>
  <c r="N38" i="5" a="1"/>
  <c r="N38" i="5" s="1"/>
  <c r="M39" i="5"/>
  <c r="N39" i="5" s="1" a="1"/>
  <c r="N39" i="5" s="1"/>
  <c r="M40" i="5"/>
  <c r="N40" i="5" a="1"/>
  <c r="N40" i="5" s="1"/>
  <c r="M41" i="5"/>
  <c r="N41" i="5" a="1"/>
  <c r="N41" i="5" s="1"/>
  <c r="M42" i="5"/>
  <c r="N42" i="5" a="1"/>
  <c r="N42" i="5" s="1"/>
  <c r="M43" i="5"/>
  <c r="N43" i="5" s="1" a="1"/>
  <c r="N43" i="5" s="1"/>
  <c r="M44" i="5"/>
  <c r="N44" i="5" a="1"/>
  <c r="N44" i="5" s="1"/>
  <c r="M45" i="5"/>
  <c r="N45" i="5" a="1"/>
  <c r="N45" i="5" s="1"/>
  <c r="M46" i="5"/>
  <c r="N46" i="5" a="1"/>
  <c r="N46" i="5" s="1"/>
  <c r="M47" i="5"/>
  <c r="N47" i="5" s="1" a="1"/>
  <c r="N47" i="5" s="1"/>
  <c r="M48" i="5"/>
  <c r="N48" i="5" a="1"/>
  <c r="N48" i="5" s="1"/>
  <c r="M49" i="5"/>
  <c r="N49" i="5" a="1"/>
  <c r="N49" i="5" s="1"/>
  <c r="M50" i="5"/>
  <c r="N50" i="5" a="1"/>
  <c r="N50" i="5" s="1"/>
  <c r="M51" i="5"/>
  <c r="N51" i="5" s="1" a="1"/>
  <c r="N51" i="5" s="1"/>
  <c r="M52" i="5"/>
  <c r="N52" i="5" a="1"/>
  <c r="N52" i="5" s="1"/>
  <c r="M53" i="5"/>
  <c r="N53" i="5" a="1"/>
  <c r="N53" i="5" s="1"/>
  <c r="M54" i="5"/>
  <c r="N54" i="5" a="1"/>
  <c r="N54" i="5" s="1"/>
  <c r="M55" i="5"/>
  <c r="N55" i="5" a="1"/>
  <c r="N55" i="5" s="1"/>
  <c r="M56" i="5"/>
  <c r="N56" i="5" a="1"/>
  <c r="N56" i="5" s="1"/>
  <c r="M57" i="5"/>
  <c r="N57" i="5" a="1"/>
  <c r="N57" i="5" s="1"/>
  <c r="M58" i="5"/>
  <c r="N58" i="5" a="1"/>
  <c r="N58" i="5" s="1"/>
  <c r="M59" i="5"/>
  <c r="N59" i="5" a="1"/>
  <c r="N59" i="5" s="1"/>
  <c r="M60" i="5"/>
  <c r="N60" i="5" a="1"/>
  <c r="N60" i="5" s="1"/>
  <c r="M61" i="5"/>
  <c r="N61" i="5" a="1"/>
  <c r="N61" i="5" s="1"/>
  <c r="M62" i="5"/>
  <c r="N62" i="5" a="1"/>
  <c r="N62" i="5" s="1"/>
  <c r="M63" i="5"/>
  <c r="N63" i="5" a="1"/>
  <c r="N63" i="5" s="1"/>
  <c r="M64" i="5"/>
  <c r="N64" i="5" a="1"/>
  <c r="N64" i="5" s="1"/>
  <c r="M65" i="5"/>
  <c r="N65" i="5" a="1"/>
  <c r="N65" i="5" s="1"/>
  <c r="M66" i="5"/>
  <c r="N66" i="5" a="1"/>
  <c r="N66" i="5" s="1"/>
  <c r="M67" i="5"/>
  <c r="N67" i="5" a="1"/>
  <c r="N67" i="5" s="1"/>
  <c r="M68" i="5"/>
  <c r="N68" i="5" a="1"/>
  <c r="N68" i="5" s="1"/>
  <c r="M69" i="5"/>
  <c r="N69" i="5" a="1"/>
  <c r="N69" i="5" s="1"/>
  <c r="M70" i="5"/>
  <c r="N70" i="5" a="1"/>
  <c r="N70" i="5" s="1"/>
  <c r="M71" i="5"/>
  <c r="N71" i="5" a="1"/>
  <c r="N71" i="5" s="1"/>
  <c r="M72" i="5"/>
  <c r="N72" i="5" a="1"/>
  <c r="N72" i="5" s="1"/>
  <c r="M73" i="5"/>
  <c r="N73" i="5" a="1"/>
  <c r="N73" i="5" s="1"/>
  <c r="M74" i="5"/>
  <c r="N74" i="5" a="1"/>
  <c r="N74" i="5" s="1"/>
  <c r="M75" i="5"/>
  <c r="N75" i="5" a="1"/>
  <c r="N75" i="5" s="1"/>
  <c r="M76" i="5"/>
  <c r="N76" i="5" a="1"/>
  <c r="N76" i="5" s="1"/>
  <c r="M77" i="5"/>
  <c r="N77" i="5" a="1"/>
  <c r="N77" i="5" s="1"/>
  <c r="M78" i="5"/>
  <c r="N78" i="5" a="1"/>
  <c r="N78" i="5" s="1"/>
  <c r="M79" i="5"/>
  <c r="N79" i="5" a="1"/>
  <c r="N79" i="5" s="1"/>
  <c r="M80" i="5"/>
  <c r="N80" i="5" a="1"/>
  <c r="N80" i="5" s="1"/>
  <c r="M81" i="5"/>
  <c r="N81" i="5" a="1"/>
  <c r="N81" i="5" s="1"/>
  <c r="M82" i="5"/>
  <c r="N82" i="5" a="1"/>
  <c r="N82" i="5" s="1"/>
  <c r="M83" i="5"/>
  <c r="N83" i="5" a="1"/>
  <c r="N83" i="5" s="1"/>
  <c r="M84" i="5"/>
  <c r="N84" i="5" a="1"/>
  <c r="N84" i="5" s="1"/>
  <c r="M85" i="5"/>
  <c r="N85" i="5" a="1"/>
  <c r="N85" i="5" s="1"/>
  <c r="M86" i="5"/>
  <c r="N86" i="5" a="1"/>
  <c r="N86" i="5" s="1"/>
  <c r="M87" i="5"/>
  <c r="N87" i="5" a="1"/>
  <c r="N87" i="5" s="1"/>
  <c r="M88" i="5"/>
  <c r="N88" i="5" a="1"/>
  <c r="N88" i="5" s="1"/>
  <c r="M89" i="5"/>
  <c r="N89" i="5" a="1"/>
  <c r="N89" i="5" s="1"/>
  <c r="M90" i="5"/>
  <c r="N90" i="5" a="1"/>
  <c r="N90" i="5" s="1"/>
  <c r="M91" i="5"/>
  <c r="N91" i="5" a="1"/>
  <c r="N91" i="5" s="1"/>
  <c r="M92" i="5"/>
  <c r="N92" i="5" a="1"/>
  <c r="N92" i="5" s="1"/>
  <c r="M93" i="5"/>
  <c r="N93" i="5" a="1"/>
  <c r="N93" i="5" s="1"/>
  <c r="M94" i="5"/>
  <c r="N94" i="5" a="1"/>
  <c r="N94" i="5" s="1"/>
  <c r="M95" i="5"/>
  <c r="N95" i="5" a="1"/>
  <c r="N95" i="5" s="1"/>
  <c r="M96" i="5"/>
  <c r="N96" i="5" a="1"/>
  <c r="N96" i="5" s="1"/>
  <c r="M97" i="5"/>
  <c r="N97" i="5" a="1"/>
  <c r="N97" i="5" s="1"/>
  <c r="M98" i="5"/>
  <c r="N98" i="5" a="1"/>
  <c r="N98" i="5" s="1"/>
  <c r="M99" i="5"/>
  <c r="N99" i="5" a="1"/>
  <c r="N99" i="5" s="1"/>
  <c r="M100" i="5"/>
  <c r="N100" i="5" a="1"/>
  <c r="N100" i="5" s="1"/>
  <c r="M101" i="5"/>
  <c r="N101" i="5" a="1"/>
  <c r="N101" i="5" s="1"/>
  <c r="M102" i="5"/>
  <c r="N102" i="5" a="1"/>
  <c r="N102" i="5" s="1"/>
  <c r="M103" i="5"/>
  <c r="N103" i="5" a="1"/>
  <c r="N103" i="5" s="1"/>
  <c r="M104" i="5"/>
  <c r="N104" i="5" a="1"/>
  <c r="N104" i="5" s="1"/>
  <c r="M105" i="5"/>
  <c r="N105" i="5" a="1"/>
  <c r="N105" i="5" s="1"/>
  <c r="M106" i="5"/>
  <c r="N106" i="5" a="1"/>
  <c r="N106" i="5" s="1"/>
  <c r="M107" i="5"/>
  <c r="N107" i="5" a="1"/>
  <c r="N107" i="5" s="1"/>
  <c r="M108" i="5"/>
  <c r="N108" i="5" a="1"/>
  <c r="N108" i="5" s="1"/>
  <c r="M109" i="5"/>
  <c r="N109" i="5" a="1"/>
  <c r="N109" i="5" s="1"/>
  <c r="M110" i="5"/>
  <c r="N110" i="5" a="1"/>
  <c r="N110" i="5" s="1"/>
  <c r="M111" i="5"/>
  <c r="N111" i="5" a="1"/>
  <c r="N111" i="5" s="1"/>
  <c r="M112" i="5"/>
  <c r="N112" i="5" a="1"/>
  <c r="N112" i="5" s="1"/>
  <c r="M113" i="5"/>
  <c r="N113" i="5" a="1"/>
  <c r="N113" i="5" s="1"/>
  <c r="M114" i="5"/>
  <c r="N114" i="5" a="1"/>
  <c r="N114" i="5" s="1"/>
  <c r="M115" i="5"/>
  <c r="N115" i="5" a="1"/>
  <c r="N115" i="5" s="1"/>
  <c r="M116" i="5"/>
  <c r="N116" i="5" a="1"/>
  <c r="N116" i="5" s="1"/>
  <c r="M117" i="5"/>
  <c r="N117" i="5" a="1"/>
  <c r="N117" i="5" s="1"/>
  <c r="M118" i="5"/>
  <c r="N118" i="5" a="1"/>
  <c r="N118" i="5" s="1"/>
  <c r="M119" i="5"/>
  <c r="N119" i="5" a="1"/>
  <c r="N119" i="5" s="1"/>
  <c r="M120" i="5"/>
  <c r="N120" i="5" a="1"/>
  <c r="N120" i="5" s="1"/>
  <c r="M121" i="5"/>
  <c r="N121" i="5" a="1"/>
  <c r="N121" i="5" s="1"/>
  <c r="M122" i="5"/>
  <c r="N122" i="5" a="1"/>
  <c r="N122" i="5" s="1"/>
  <c r="M123" i="5"/>
  <c r="N123" i="5" a="1"/>
  <c r="N123" i="5" s="1"/>
  <c r="M124" i="5"/>
  <c r="N124" i="5" a="1"/>
  <c r="N124" i="5" s="1"/>
  <c r="M125" i="5"/>
  <c r="N125" i="5" a="1"/>
  <c r="N125" i="5" s="1"/>
  <c r="M126" i="5"/>
  <c r="N126" i="5" a="1"/>
  <c r="N126" i="5" s="1"/>
  <c r="M127" i="5"/>
  <c r="N127" i="5" a="1"/>
  <c r="N127" i="5" s="1"/>
  <c r="M128" i="5"/>
  <c r="N128" i="5" a="1"/>
  <c r="N128" i="5" s="1"/>
  <c r="M129" i="5"/>
  <c r="N129" i="5" a="1"/>
  <c r="N129" i="5" s="1"/>
  <c r="M130" i="5"/>
  <c r="N130" i="5" a="1"/>
  <c r="N130" i="5" s="1"/>
  <c r="M131" i="5"/>
  <c r="N131" i="5" a="1"/>
  <c r="N131" i="5" s="1"/>
  <c r="M132" i="5"/>
  <c r="N132" i="5" a="1"/>
  <c r="N132" i="5" s="1"/>
  <c r="M133" i="5"/>
  <c r="N133" i="5" a="1"/>
  <c r="N133" i="5" s="1"/>
  <c r="M134" i="5"/>
  <c r="N134" i="5" a="1"/>
  <c r="N134" i="5" s="1"/>
  <c r="M135" i="5"/>
  <c r="N135" i="5" a="1"/>
  <c r="N135" i="5" s="1"/>
  <c r="M136" i="5"/>
  <c r="N136" i="5" a="1"/>
  <c r="N136" i="5" s="1"/>
  <c r="M137" i="5"/>
  <c r="N137" i="5" a="1"/>
  <c r="N137" i="5" s="1"/>
  <c r="M138" i="5"/>
  <c r="N138" i="5" a="1"/>
  <c r="N138" i="5" s="1"/>
  <c r="M139" i="5"/>
  <c r="N139" i="5" a="1"/>
  <c r="N139" i="5" s="1"/>
  <c r="M140" i="5"/>
  <c r="N140" i="5" a="1"/>
  <c r="N140" i="5" s="1"/>
  <c r="M141" i="5"/>
  <c r="N141" i="5" a="1"/>
  <c r="N141" i="5" s="1"/>
  <c r="M142" i="5"/>
  <c r="N142" i="5" a="1"/>
  <c r="N142" i="5" s="1"/>
  <c r="M143" i="5"/>
  <c r="N143" i="5" a="1"/>
  <c r="N143" i="5" s="1"/>
  <c r="M144" i="5"/>
  <c r="N144" i="5" a="1"/>
  <c r="N144" i="5" s="1"/>
  <c r="M145" i="5"/>
  <c r="N145" i="5" a="1"/>
  <c r="N145" i="5" s="1"/>
  <c r="M146" i="5"/>
  <c r="N146" i="5" a="1"/>
  <c r="N146" i="5" s="1"/>
  <c r="M147" i="5"/>
  <c r="N147" i="5" a="1"/>
  <c r="N147" i="5" s="1"/>
  <c r="M148" i="5"/>
  <c r="N148" i="5" a="1"/>
  <c r="N148" i="5" s="1"/>
  <c r="M149" i="5"/>
  <c r="N149" i="5" a="1"/>
  <c r="N149" i="5" s="1"/>
  <c r="M150" i="5"/>
  <c r="N150" i="5" a="1"/>
  <c r="N150" i="5" s="1"/>
  <c r="M151" i="5"/>
  <c r="N151" i="5" a="1"/>
  <c r="N151" i="5" s="1"/>
  <c r="M152" i="5"/>
  <c r="N152" i="5" a="1"/>
  <c r="N152" i="5" s="1"/>
  <c r="M153" i="5"/>
  <c r="N153" i="5" a="1"/>
  <c r="N153" i="5" s="1"/>
  <c r="M154" i="5"/>
  <c r="N154" i="5" a="1"/>
  <c r="N154" i="5" s="1"/>
  <c r="M155" i="5"/>
  <c r="N155" i="5" a="1"/>
  <c r="N155" i="5" s="1"/>
  <c r="M156" i="5"/>
  <c r="N156" i="5" a="1"/>
  <c r="N156" i="5" s="1"/>
  <c r="M157" i="5"/>
  <c r="N157" i="5" a="1"/>
  <c r="N157" i="5" s="1"/>
  <c r="M158" i="5"/>
  <c r="N158" i="5" a="1"/>
  <c r="N158" i="5" s="1"/>
  <c r="M159" i="5"/>
  <c r="N159" i="5" a="1"/>
  <c r="N159" i="5" s="1"/>
  <c r="M160" i="5"/>
  <c r="N160" i="5" a="1"/>
  <c r="N160" i="5" s="1"/>
  <c r="M161" i="5"/>
  <c r="N161" i="5" a="1"/>
  <c r="N161" i="5" s="1"/>
  <c r="M162" i="5"/>
  <c r="N162" i="5" a="1"/>
  <c r="N162" i="5" s="1"/>
  <c r="M163" i="5"/>
  <c r="N163" i="5" a="1"/>
  <c r="N163" i="5" s="1"/>
  <c r="M164" i="5"/>
  <c r="N164" i="5" a="1"/>
  <c r="N164" i="5" s="1"/>
  <c r="M165" i="5"/>
  <c r="N165" i="5" a="1"/>
  <c r="N165" i="5" s="1"/>
  <c r="M166" i="5"/>
  <c r="N166" i="5" a="1"/>
  <c r="N166" i="5" s="1"/>
  <c r="M167" i="5"/>
  <c r="N167" i="5" a="1"/>
  <c r="N167" i="5" s="1"/>
  <c r="M168" i="5"/>
  <c r="N168" i="5" a="1"/>
  <c r="N168" i="5" s="1"/>
  <c r="M169" i="5"/>
  <c r="N169" i="5" a="1"/>
  <c r="N169" i="5" s="1"/>
  <c r="M170" i="5"/>
  <c r="N170" i="5" a="1"/>
  <c r="N170" i="5" s="1"/>
  <c r="M171" i="5"/>
  <c r="N171" i="5" a="1"/>
  <c r="N171" i="5" s="1"/>
  <c r="M172" i="5"/>
  <c r="N172" i="5" a="1"/>
  <c r="N172" i="5" s="1"/>
  <c r="M173" i="5"/>
  <c r="N173" i="5" a="1"/>
  <c r="N173" i="5" s="1"/>
  <c r="M174" i="5"/>
  <c r="N174" i="5" a="1"/>
  <c r="N174" i="5" s="1"/>
  <c r="M175" i="5"/>
  <c r="N175" i="5" a="1"/>
  <c r="N175" i="5" s="1"/>
  <c r="M176" i="5"/>
  <c r="N176" i="5" a="1"/>
  <c r="N176" i="5" s="1"/>
  <c r="M177" i="5"/>
  <c r="N177" i="5" a="1"/>
  <c r="N177" i="5" s="1"/>
  <c r="M178" i="5"/>
  <c r="N178" i="5" a="1"/>
  <c r="N178" i="5" s="1"/>
  <c r="M179" i="5"/>
  <c r="N179" i="5" a="1"/>
  <c r="N179" i="5" s="1"/>
  <c r="M180" i="5"/>
  <c r="N180" i="5" a="1"/>
  <c r="N180" i="5" s="1"/>
  <c r="M181" i="5"/>
  <c r="N181" i="5" a="1"/>
  <c r="N181" i="5" s="1"/>
  <c r="M182" i="5"/>
  <c r="N182" i="5" a="1"/>
  <c r="N182" i="5" s="1"/>
  <c r="M183" i="5"/>
  <c r="N183" i="5" a="1"/>
  <c r="N183" i="5" s="1"/>
  <c r="M184" i="5"/>
  <c r="N184" i="5" a="1"/>
  <c r="N184" i="5" s="1"/>
  <c r="M185" i="5"/>
  <c r="N185" i="5" a="1"/>
  <c r="N185" i="5" s="1"/>
  <c r="M186" i="5"/>
  <c r="N186" i="5" a="1"/>
  <c r="N186" i="5" s="1"/>
  <c r="M187" i="5"/>
  <c r="N187" i="5" a="1"/>
  <c r="N187" i="5" s="1"/>
  <c r="M188" i="5"/>
  <c r="N188" i="5" a="1"/>
  <c r="N188" i="5" s="1"/>
  <c r="M189" i="5"/>
  <c r="N189" i="5" a="1"/>
  <c r="N189" i="5" s="1"/>
  <c r="M190" i="5"/>
  <c r="N190" i="5" a="1"/>
  <c r="N190" i="5" s="1"/>
  <c r="M191" i="5"/>
  <c r="N191" i="5" a="1"/>
  <c r="N191" i="5" s="1"/>
  <c r="M192" i="5"/>
  <c r="N192" i="5" a="1"/>
  <c r="N192" i="5" s="1"/>
  <c r="M193" i="5"/>
  <c r="N193" i="5" a="1"/>
  <c r="N193" i="5" s="1"/>
  <c r="M194" i="5"/>
  <c r="N194" i="5" a="1"/>
  <c r="N194" i="5" s="1"/>
  <c r="M195" i="5"/>
  <c r="N195" i="5" a="1"/>
  <c r="N195" i="5" s="1"/>
  <c r="M196" i="5"/>
  <c r="N196" i="5" a="1"/>
  <c r="N196" i="5" s="1"/>
  <c r="M197" i="5"/>
  <c r="N197" i="5" a="1"/>
  <c r="N197" i="5" s="1"/>
  <c r="M198" i="5"/>
  <c r="N198" i="5" a="1"/>
  <c r="N198" i="5" s="1"/>
  <c r="M199" i="5"/>
  <c r="N199" i="5" a="1"/>
  <c r="N199" i="5" s="1"/>
  <c r="M200" i="5"/>
  <c r="N200" i="5" a="1"/>
  <c r="N200" i="5" s="1"/>
  <c r="M201" i="5"/>
  <c r="N201" i="5" a="1"/>
  <c r="N201" i="5" s="1"/>
  <c r="M202" i="5"/>
  <c r="N202" i="5" a="1"/>
  <c r="N202" i="5" s="1"/>
  <c r="M203" i="5"/>
  <c r="N203" i="5" a="1"/>
  <c r="N203" i="5" s="1"/>
  <c r="M204" i="5"/>
  <c r="N204" i="5" a="1"/>
  <c r="N204" i="5" s="1"/>
  <c r="M205" i="5"/>
  <c r="N205" i="5" a="1"/>
  <c r="N205" i="5" s="1"/>
  <c r="M206" i="5"/>
  <c r="N206" i="5" a="1"/>
  <c r="N206" i="5" s="1"/>
  <c r="M207" i="5"/>
  <c r="N207" i="5" a="1"/>
  <c r="N207" i="5" s="1"/>
  <c r="M208" i="5"/>
  <c r="N208" i="5" a="1"/>
  <c r="N208" i="5" s="1"/>
  <c r="M209" i="5"/>
  <c r="N209" i="5" a="1"/>
  <c r="N209" i="5" s="1"/>
  <c r="M210" i="5"/>
  <c r="N210" i="5" a="1"/>
  <c r="N210" i="5" s="1"/>
  <c r="M211" i="5"/>
  <c r="N211" i="5" a="1"/>
  <c r="N211" i="5" s="1"/>
  <c r="M212" i="5"/>
  <c r="N212" i="5" a="1"/>
  <c r="N212" i="5" s="1"/>
  <c r="M213" i="5"/>
  <c r="N213" i="5" a="1"/>
  <c r="N213" i="5" s="1"/>
  <c r="M214" i="5"/>
  <c r="N214" i="5" a="1"/>
  <c r="N214" i="5" s="1"/>
  <c r="M215" i="5"/>
  <c r="N215" i="5" a="1"/>
  <c r="N215" i="5" s="1"/>
  <c r="M216" i="5"/>
  <c r="N216" i="5" a="1"/>
  <c r="N216" i="5" s="1"/>
  <c r="M217" i="5"/>
  <c r="N217" i="5" a="1"/>
  <c r="N217" i="5" s="1"/>
  <c r="M218" i="5"/>
  <c r="N218" i="5" a="1"/>
  <c r="N218" i="5" s="1"/>
  <c r="M219" i="5"/>
  <c r="N219" i="5" a="1"/>
  <c r="N219" i="5" s="1"/>
  <c r="M220" i="5"/>
  <c r="N220" i="5" a="1"/>
  <c r="N220" i="5" s="1"/>
  <c r="M221" i="5"/>
  <c r="N221" i="5" a="1"/>
  <c r="N221" i="5" s="1"/>
  <c r="M222" i="5"/>
  <c r="N222" i="5" a="1"/>
  <c r="N222" i="5" s="1"/>
  <c r="M223" i="5"/>
  <c r="N223" i="5" a="1"/>
  <c r="N223" i="5" s="1"/>
  <c r="M224" i="5"/>
  <c r="N224" i="5" a="1"/>
  <c r="N224" i="5" s="1"/>
  <c r="M225" i="5"/>
  <c r="N225" i="5" a="1"/>
  <c r="N225" i="5" s="1"/>
  <c r="M226" i="5"/>
  <c r="N226" i="5" a="1"/>
  <c r="N226" i="5" s="1"/>
  <c r="M227" i="5"/>
  <c r="N227" i="5" a="1"/>
  <c r="N227" i="5" s="1"/>
  <c r="M228" i="5"/>
  <c r="N228" i="5" a="1"/>
  <c r="N228" i="5" s="1"/>
  <c r="M229" i="5"/>
  <c r="N229" i="5" a="1"/>
  <c r="N229" i="5" s="1"/>
  <c r="M230" i="5"/>
  <c r="N230" i="5" a="1"/>
  <c r="N230" i="5" s="1"/>
  <c r="M231" i="5"/>
  <c r="N231" i="5" a="1"/>
  <c r="N231" i="5" s="1"/>
  <c r="M232" i="5"/>
  <c r="N232" i="5" a="1"/>
  <c r="N232" i="5" s="1"/>
  <c r="M233" i="5"/>
  <c r="N233" i="5" a="1"/>
  <c r="N233" i="5" s="1"/>
  <c r="M234" i="5"/>
  <c r="N234" i="5" a="1"/>
  <c r="N234" i="5" s="1"/>
  <c r="M235" i="5"/>
  <c r="N235" i="5" a="1"/>
  <c r="N235" i="5" s="1"/>
  <c r="M236" i="5"/>
  <c r="N236" i="5" a="1"/>
  <c r="N236" i="5" s="1"/>
  <c r="M237" i="5"/>
  <c r="N237" i="5" a="1"/>
  <c r="N237" i="5" s="1"/>
  <c r="M238" i="5"/>
  <c r="N238" i="5" a="1"/>
  <c r="N238" i="5" s="1"/>
  <c r="M239" i="5"/>
  <c r="N239" i="5" a="1"/>
  <c r="N239" i="5" s="1"/>
  <c r="M240" i="5"/>
  <c r="N240" i="5" a="1"/>
  <c r="N240" i="5" s="1"/>
  <c r="M241" i="5"/>
  <c r="N241" i="5" a="1"/>
  <c r="N241" i="5" s="1"/>
  <c r="M242" i="5"/>
  <c r="N242" i="5" a="1"/>
  <c r="N242" i="5" s="1"/>
  <c r="M243" i="5"/>
  <c r="N243" i="5" a="1"/>
  <c r="N243" i="5" s="1"/>
  <c r="M244" i="5"/>
  <c r="N244" i="5" a="1"/>
  <c r="N244" i="5" s="1"/>
  <c r="M245" i="5"/>
  <c r="N245" i="5" a="1"/>
  <c r="N245" i="5" s="1"/>
  <c r="M246" i="5"/>
  <c r="N246" i="5" a="1"/>
  <c r="N246" i="5" s="1"/>
  <c r="M247" i="5"/>
  <c r="N247" i="5" a="1"/>
  <c r="N247" i="5" s="1"/>
  <c r="M248" i="5"/>
  <c r="N248" i="5" a="1"/>
  <c r="N248" i="5" s="1"/>
  <c r="M249" i="5"/>
  <c r="N249" i="5" a="1"/>
  <c r="N249" i="5" s="1"/>
  <c r="M250" i="5"/>
  <c r="N250" i="5" a="1"/>
  <c r="N250" i="5" s="1"/>
  <c r="M251" i="5"/>
  <c r="N251" i="5" a="1"/>
  <c r="N251" i="5" s="1"/>
  <c r="M2" i="5"/>
  <c r="N2" i="5" s="1" a="1"/>
  <c r="N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<sst xmlns="http://schemas.openxmlformats.org/spreadsheetml/2006/main" count="3518" uniqueCount="1118">
  <si>
    <t>Question</t>
  </si>
  <si>
    <t>Weight</t>
  </si>
  <si>
    <t>Why</t>
  </si>
  <si>
    <t>BIZ01</t>
  </si>
  <si>
    <t>BIZ02</t>
  </si>
  <si>
    <t>BIZ03</t>
  </si>
  <si>
    <t>BIZ04</t>
  </si>
  <si>
    <t>BIZ05</t>
  </si>
  <si>
    <t>Score</t>
  </si>
  <si>
    <t>Risk Score</t>
  </si>
  <si>
    <t>Priority</t>
  </si>
  <si>
    <t>VerbalScore</t>
  </si>
  <si>
    <t>Power BI objectives clearly defined</t>
  </si>
  <si>
    <t>Without objectives, reporting becomes reactive and misaligned</t>
  </si>
  <si>
    <t>We don’t really have objectives, we just build what’s requested</t>
  </si>
  <si>
    <t>We have a general idea, but nothing written down</t>
  </si>
  <si>
    <t>Some teams have objectives, others don’t</t>
  </si>
  <si>
    <t>We have documented objectives and usually follow them</t>
  </si>
  <si>
    <t>Objectives are documented, reviewed, and aligned with strategy</t>
  </si>
  <si>
    <t>Target audiences clearly defined</t>
  </si>
  <si>
    <t>Undefined audiences reduce adoption and clarity</t>
  </si>
  <si>
    <t>Reports are built for whoever needs them</t>
  </si>
  <si>
    <t>We have an idea of users, but it’s informal</t>
  </si>
  <si>
    <t>Main audiences are defined for key reports</t>
  </si>
  <si>
    <t>Each report has a clearly defined audience</t>
  </si>
  <si>
    <t>Audiences are defined, validated, and reviewed regularly</t>
  </si>
  <si>
    <t>KPIs consistently defined</t>
  </si>
  <si>
    <t>Inconsistent KPIs create trust and decision risk</t>
  </si>
  <si>
    <t>Different teams use different numbers</t>
  </si>
  <si>
    <t>We try to align, but definitions still vary</t>
  </si>
  <si>
    <t>Most KPIs are consistent, some aren’t</t>
  </si>
  <si>
    <t>KPIs are clearly defined and consistently used</t>
  </si>
  <si>
    <t>KPIs are governed and centrally approved</t>
  </si>
  <si>
    <t>Business vs IT responsibilities clear</t>
  </si>
  <si>
    <t>Unclear ownership slows delivery and accountability</t>
  </si>
  <si>
    <t>It’s not really clear who owns what</t>
  </si>
  <si>
    <t>We kind of know, but it depends</t>
  </si>
  <si>
    <t>Responsibilities are clear for most cases</t>
  </si>
  <si>
    <t>Roles and responsibilities are well defined</t>
  </si>
  <si>
    <t>Roles are documented and understood by everyone</t>
  </si>
  <si>
    <t>Reporting demand prioritized</t>
  </si>
  <si>
    <t>Lack of prioritization causes overload and frustration</t>
  </si>
  <si>
    <t>We handle requests as they come</t>
  </si>
  <si>
    <t>We try to prioritize, but it’s ad hoc</t>
  </si>
  <si>
    <t>Some prioritization exists for major requests</t>
  </si>
  <si>
    <t>Requests are prioritized using clear criteria</t>
  </si>
  <si>
    <t>Formal intake and prioritization process exists</t>
  </si>
  <si>
    <t>ENV01</t>
  </si>
  <si>
    <t>Workspace naming convention</t>
  </si>
  <si>
    <t>Naming consistency supports scale and clarity</t>
  </si>
  <si>
    <t>Everyone names workspaces their own way</t>
  </si>
  <si>
    <t>Some naming rules exist but aren’t enforced</t>
  </si>
  <si>
    <t>Most workspaces follow a convention</t>
  </si>
  <si>
    <t>Naming conventions are consistently applied</t>
  </si>
  <si>
    <t>Naming is standardized and enforced automatically</t>
  </si>
  <si>
    <t>ENV02</t>
  </si>
  <si>
    <t>Dev/Test/Prod separation</t>
  </si>
  <si>
    <t>No separation risks breaking production</t>
  </si>
  <si>
    <t>Everything is built directly in production</t>
  </si>
  <si>
    <t>We sometimes copy things to test</t>
  </si>
  <si>
    <t>Some projects have separation</t>
  </si>
  <si>
    <t>All projects have Dev and Prod</t>
  </si>
  <si>
    <t>Dev/Test/Prod with controlled deployments</t>
  </si>
  <si>
    <t>ENV03</t>
  </si>
  <si>
    <t>Workspace ownership defined</t>
  </si>
  <si>
    <t>Ownership prevents orphaned assets</t>
  </si>
  <si>
    <t>No one really owns the workspace</t>
  </si>
  <si>
    <t>Ownership exists but isn’t formal</t>
  </si>
  <si>
    <t>Most workspaces have an owner</t>
  </si>
  <si>
    <t>Each workspace has a clear owner</t>
  </si>
  <si>
    <t>Ownership is documented and reviewed</t>
  </si>
  <si>
    <t>ENV04</t>
  </si>
  <si>
    <t>Workspace creation controlled</t>
  </si>
  <si>
    <t>Uncontrolled creation leads to sprawl</t>
  </si>
  <si>
    <t>Anyone can create workspaces</t>
  </si>
  <si>
    <t>Creation is mostly open</t>
  </si>
  <si>
    <t>Some restrictions exist</t>
  </si>
  <si>
    <t>Workspace creation is controlled</t>
  </si>
  <si>
    <t>Creation follows a governed approval process</t>
  </si>
  <si>
    <t>ENV05</t>
  </si>
  <si>
    <t>No production in My Workspace</t>
  </si>
  <si>
    <t>My Workspace use is a major operational risk</t>
  </si>
  <si>
    <t>Critical reports live in My Workspace</t>
  </si>
  <si>
    <t>Some important reports are still there</t>
  </si>
  <si>
    <t>Most production reports are properly located</t>
  </si>
  <si>
    <t>Production reports are never in My Workspace</t>
  </si>
  <si>
    <t>This is enforced and audited</t>
  </si>
  <si>
    <t>CategoryID</t>
  </si>
  <si>
    <t>Category</t>
  </si>
  <si>
    <t>SubcategoryID</t>
  </si>
  <si>
    <t>Subcategory</t>
  </si>
  <si>
    <t>Pillar</t>
  </si>
  <si>
    <t>QuestionID</t>
  </si>
  <si>
    <t>VerbalScoreID</t>
  </si>
  <si>
    <t>CAT01</t>
  </si>
  <si>
    <t>Business Alignment</t>
  </si>
  <si>
    <t>SUB01</t>
  </si>
  <si>
    <t>Objectives</t>
  </si>
  <si>
    <t>CoE</t>
  </si>
  <si>
    <t>BIZ01_S1</t>
  </si>
  <si>
    <t>BIZ01_S2</t>
  </si>
  <si>
    <t>BIZ01_S3</t>
  </si>
  <si>
    <t>BIZ01_S4</t>
  </si>
  <si>
    <t>BIZ01_S5</t>
  </si>
  <si>
    <t>SUB02</t>
  </si>
  <si>
    <t>Audiences</t>
  </si>
  <si>
    <t>BIZ02_S1</t>
  </si>
  <si>
    <t>BIZ02_S2</t>
  </si>
  <si>
    <t>BIZ02_S3</t>
  </si>
  <si>
    <t>BIZ02_S4</t>
  </si>
  <si>
    <t>BIZ02_S5</t>
  </si>
  <si>
    <t>SUB03</t>
  </si>
  <si>
    <t>KPIs</t>
  </si>
  <si>
    <t>BIZ03_S1</t>
  </si>
  <si>
    <t>BIZ03_S2</t>
  </si>
  <si>
    <t>BIZ03_S3</t>
  </si>
  <si>
    <t>BIZ03_S4</t>
  </si>
  <si>
    <t>BIZ03_S5</t>
  </si>
  <si>
    <t>SUB04</t>
  </si>
  <si>
    <t>Ownership</t>
  </si>
  <si>
    <t>BIZ04_S1</t>
  </si>
  <si>
    <t>BIZ04_S2</t>
  </si>
  <si>
    <t>BIZ04_S3</t>
  </si>
  <si>
    <t>BIZ04_S4</t>
  </si>
  <si>
    <t>BIZ04_S5</t>
  </si>
  <si>
    <t>SUB05</t>
  </si>
  <si>
    <t>Demand</t>
  </si>
  <si>
    <t>BIZ05_S1</t>
  </si>
  <si>
    <t>BIZ05_S2</t>
  </si>
  <si>
    <t>BIZ05_S3</t>
  </si>
  <si>
    <t>BIZ05_S4</t>
  </si>
  <si>
    <t>BIZ05_S5</t>
  </si>
  <si>
    <t>CAT02</t>
  </si>
  <si>
    <t>Workspace &amp; Environment</t>
  </si>
  <si>
    <t>SUB06</t>
  </si>
  <si>
    <t>Naming</t>
  </si>
  <si>
    <t>BI Ops</t>
  </si>
  <si>
    <t>ENV01_S1</t>
  </si>
  <si>
    <t>ENV01_S2</t>
  </si>
  <si>
    <t>ENV01_S3</t>
  </si>
  <si>
    <t>ENV01_S4</t>
  </si>
  <si>
    <t>ENV01_S5</t>
  </si>
  <si>
    <t>SUB07</t>
  </si>
  <si>
    <t>Environments</t>
  </si>
  <si>
    <t>ENV02_S1</t>
  </si>
  <si>
    <t>ENV02_S2</t>
  </si>
  <si>
    <t>ENV02_S3</t>
  </si>
  <si>
    <t>ENV02_S4</t>
  </si>
  <si>
    <t>ENV02_S5</t>
  </si>
  <si>
    <t>SUB08</t>
  </si>
  <si>
    <t>ENV03_S1</t>
  </si>
  <si>
    <t>ENV03_S2</t>
  </si>
  <si>
    <t>ENV03_S3</t>
  </si>
  <si>
    <t>ENV03_S4</t>
  </si>
  <si>
    <t>ENV03_S5</t>
  </si>
  <si>
    <t>SUB09</t>
  </si>
  <si>
    <t>Governance</t>
  </si>
  <si>
    <t>ENV04_S1</t>
  </si>
  <si>
    <t>ENV04_S2</t>
  </si>
  <si>
    <t>ENV04_S3</t>
  </si>
  <si>
    <t>ENV04_S4</t>
  </si>
  <si>
    <t>ENV04_S5</t>
  </si>
  <si>
    <t>SUB10</t>
  </si>
  <si>
    <t>Production Usage</t>
  </si>
  <si>
    <t>ENV05_S1</t>
  </si>
  <si>
    <t>ENV05_S2</t>
  </si>
  <si>
    <t>ENV05_S3</t>
  </si>
  <si>
    <t>ENV05_S4</t>
  </si>
  <si>
    <t>ENV05_S5</t>
  </si>
  <si>
    <t>CAT03</t>
  </si>
  <si>
    <t>Data Modeling</t>
  </si>
  <si>
    <t>SUB11</t>
  </si>
  <si>
    <t>Schema Design</t>
  </si>
  <si>
    <t>Reporting</t>
  </si>
  <si>
    <t>MOD01</t>
  </si>
  <si>
    <t>Star schema usage</t>
  </si>
  <si>
    <t>Star schemas are foundational for performance and scalability</t>
  </si>
  <si>
    <t>MOD01_S1</t>
  </si>
  <si>
    <t>Models are built however works at the time</t>
  </si>
  <si>
    <t>MOD01_S2</t>
  </si>
  <si>
    <t>We sometimes use star schemas</t>
  </si>
  <si>
    <t>MOD01_S3</t>
  </si>
  <si>
    <t>Most models follow a star schema</t>
  </si>
  <si>
    <t>MOD01_S4</t>
  </si>
  <si>
    <t>Star schema is our standard</t>
  </si>
  <si>
    <t>MOD01_S5</t>
  </si>
  <si>
    <t>Models are reviewed for schema quality</t>
  </si>
  <si>
    <t>SUB12</t>
  </si>
  <si>
    <t>Reuse</t>
  </si>
  <si>
    <t>MOD02</t>
  </si>
  <si>
    <t>Shared datasets used</t>
  </si>
  <si>
    <t>Lack of reuse causes duplication and inconsistency</t>
  </si>
  <si>
    <t>MOD02_S1</t>
  </si>
  <si>
    <t>Each report has its own dataset</t>
  </si>
  <si>
    <t>MOD02_S2</t>
  </si>
  <si>
    <t>Some datasets are reused accidentally</t>
  </si>
  <si>
    <t>MOD02_S3</t>
  </si>
  <si>
    <t>Core reports share datasets</t>
  </si>
  <si>
    <t>MOD02_S4</t>
  </si>
  <si>
    <t>Shared datasets are the default</t>
  </si>
  <si>
    <t>MOD02_S5</t>
  </si>
  <si>
    <t>Governed semantic layer strategy exists</t>
  </si>
  <si>
    <t>SUB13</t>
  </si>
  <si>
    <t>Measures</t>
  </si>
  <si>
    <t>MOD03</t>
  </si>
  <si>
    <t>Measures centralized and documented</t>
  </si>
  <si>
    <t>Central measures improve trust and reuse</t>
  </si>
  <si>
    <t>MOD03_S1</t>
  </si>
  <si>
    <t>Measures are created inside reports</t>
  </si>
  <si>
    <t>MOD03_S2</t>
  </si>
  <si>
    <t>Some shared measures exist</t>
  </si>
  <si>
    <t>MOD03_S3</t>
  </si>
  <si>
    <t>Important measures are centralized</t>
  </si>
  <si>
    <t>MOD03_S4</t>
  </si>
  <si>
    <t>Measures are centralized and documented</t>
  </si>
  <si>
    <t>MOD03_S5</t>
  </si>
  <si>
    <t>Measures follow a formal lifecycle</t>
  </si>
  <si>
    <t>SUB14</t>
  </si>
  <si>
    <t>Optimization</t>
  </si>
  <si>
    <t>MOD04</t>
  </si>
  <si>
    <t>Model size optimized</t>
  </si>
  <si>
    <t>Large models impact refresh and performance</t>
  </si>
  <si>
    <t>MOD04_S1</t>
  </si>
  <si>
    <t>We import everything</t>
  </si>
  <si>
    <t>MOD04_S2</t>
  </si>
  <si>
    <t>Some columns are removed</t>
  </si>
  <si>
    <t>MOD04_S3</t>
  </si>
  <si>
    <t>Most models are reasonably optimized</t>
  </si>
  <si>
    <t>MOD04_S4</t>
  </si>
  <si>
    <t>Models are actively optimized</t>
  </si>
  <si>
    <t>MOD04_S5</t>
  </si>
  <si>
    <t>Optimization is reviewed regularly</t>
  </si>
  <si>
    <t>SUB15</t>
  </si>
  <si>
    <t>Relationships</t>
  </si>
  <si>
    <t>MOD05</t>
  </si>
  <si>
    <t>Relationships correctly defined</t>
  </si>
  <si>
    <t>Incorrect relationships produce wrong results</t>
  </si>
  <si>
    <t>MOD05_S1</t>
  </si>
  <si>
    <t>Relationships are trial and error</t>
  </si>
  <si>
    <t>MOD05_S2</t>
  </si>
  <si>
    <t>Some relationships are unclear</t>
  </si>
  <si>
    <t>MOD05_S3</t>
  </si>
  <si>
    <t>Most relationships are correct</t>
  </si>
  <si>
    <t>MOD05_S4</t>
  </si>
  <si>
    <t>Relationships are clearly defined</t>
  </si>
  <si>
    <t>MOD05_S5</t>
  </si>
  <si>
    <t>Relationships are validated and documented</t>
  </si>
  <si>
    <t>CAT04</t>
  </si>
  <si>
    <t>Data Sources &amp; Refresh</t>
  </si>
  <si>
    <t>SUB16</t>
  </si>
  <si>
    <t>Data Inventory</t>
  </si>
  <si>
    <t>REF01</t>
  </si>
  <si>
    <t>Data sources documented</t>
  </si>
  <si>
    <t>Documentation enables support, ownership, and continuity</t>
  </si>
  <si>
    <t>REF01_S1</t>
  </si>
  <si>
    <t>We don’t have a list of data sources</t>
  </si>
  <si>
    <t>REF01_S2</t>
  </si>
  <si>
    <t>Some documentation exists</t>
  </si>
  <si>
    <t>REF01_S3</t>
  </si>
  <si>
    <t>Key data sources are documented</t>
  </si>
  <si>
    <t>REF01_S4</t>
  </si>
  <si>
    <t>All data sources are documented</t>
  </si>
  <si>
    <t>REF01_S5</t>
  </si>
  <si>
    <t>Documentation is maintained and reviewed</t>
  </si>
  <si>
    <t>SUB17</t>
  </si>
  <si>
    <t>Gateway</t>
  </si>
  <si>
    <t>REF02</t>
  </si>
  <si>
    <t>Gateway configured and monitored</t>
  </si>
  <si>
    <t>Gateway failures stop reporting entirely</t>
  </si>
  <si>
    <t>REF02_S1</t>
  </si>
  <si>
    <t>We only notice issues when refresh fails</t>
  </si>
  <si>
    <t>REF02_S2</t>
  </si>
  <si>
    <t>Gateway exists but isn’t monitored</t>
  </si>
  <si>
    <t>REF02_S3</t>
  </si>
  <si>
    <t>Basic monitoring is in place</t>
  </si>
  <si>
    <t>REF02_S4</t>
  </si>
  <si>
    <t>Gateway is actively monitored</t>
  </si>
  <si>
    <t>REF02_S5</t>
  </si>
  <si>
    <t>Gateway health is proactively managed</t>
  </si>
  <si>
    <t>SUB18</t>
  </si>
  <si>
    <t>Refresh Strategy</t>
  </si>
  <si>
    <t>REF03</t>
  </si>
  <si>
    <t>Refresh schedules meet business needs</t>
  </si>
  <si>
    <t>Late or infrequent refresh impacts decision-making</t>
  </si>
  <si>
    <t>REF03_S1</t>
  </si>
  <si>
    <t>Refresh timing is random</t>
  </si>
  <si>
    <t>REF03_S2</t>
  </si>
  <si>
    <t>Some reports refresh too late</t>
  </si>
  <si>
    <t>REF03_S3</t>
  </si>
  <si>
    <t>Most refreshes meet business needs</t>
  </si>
  <si>
    <t>REF03_S4</t>
  </si>
  <si>
    <t>Refresh aligns with business needs</t>
  </si>
  <si>
    <t>REF03_S5</t>
  </si>
  <si>
    <t>Refresh is optimized and reviewed regularly</t>
  </si>
  <si>
    <t>SUB19</t>
  </si>
  <si>
    <t>Scalability</t>
  </si>
  <si>
    <t>REF04</t>
  </si>
  <si>
    <t>Incremental refresh used where applicable</t>
  </si>
  <si>
    <t>Incremental refresh is critical for scalability</t>
  </si>
  <si>
    <t>REF04_S1</t>
  </si>
  <si>
    <t>We don’t use incremental refresh</t>
  </si>
  <si>
    <t>REF04_S2</t>
  </si>
  <si>
    <t>We tried it once</t>
  </si>
  <si>
    <t>REF04_S3</t>
  </si>
  <si>
    <t>Some large datasets use it</t>
  </si>
  <si>
    <t>REF04_S4</t>
  </si>
  <si>
    <t>Incremental refresh is standard</t>
  </si>
  <si>
    <t>REF04_S5</t>
  </si>
  <si>
    <t>Incremental refresh is optimized and monitored</t>
  </si>
  <si>
    <t>SUB20</t>
  </si>
  <si>
    <t>Credentials</t>
  </si>
  <si>
    <t>REF05</t>
  </si>
  <si>
    <t>Credentials not tied to individuals</t>
  </si>
  <si>
    <t>Personal credentials are a security and operational risk</t>
  </si>
  <si>
    <t>REF05_S1</t>
  </si>
  <si>
    <t>Refresh uses personal accounts</t>
  </si>
  <si>
    <t>REF05_S2</t>
  </si>
  <si>
    <t>Some shared accounts exist</t>
  </si>
  <si>
    <t>REF05_S3</t>
  </si>
  <si>
    <t>Most credentials are service-based</t>
  </si>
  <si>
    <t>REF05_S4</t>
  </si>
  <si>
    <t>All credentials are service-based</t>
  </si>
  <si>
    <t>REF05_S5</t>
  </si>
  <si>
    <t>Credential management is governed</t>
  </si>
  <si>
    <t>CAT05</t>
  </si>
  <si>
    <t>Performance &amp; Optimization</t>
  </si>
  <si>
    <t>SUB21</t>
  </si>
  <si>
    <t>Performance</t>
  </si>
  <si>
    <t>PERF01</t>
  </si>
  <si>
    <t>Report performance acceptable</t>
  </si>
  <si>
    <t>Slow reports reduce adoption and trust</t>
  </si>
  <si>
    <t>PERF01_S1</t>
  </si>
  <si>
    <t>Reports are often slow</t>
  </si>
  <si>
    <t>PERF01_S2</t>
  </si>
  <si>
    <t>Some reports are slow</t>
  </si>
  <si>
    <t>PERF01_S3</t>
  </si>
  <si>
    <t>Performance is acceptable most of the time</t>
  </si>
  <si>
    <t>PERF01_S4</t>
  </si>
  <si>
    <t>Reports load quickly</t>
  </si>
  <si>
    <t>PERF01_S5</t>
  </si>
  <si>
    <t>Performance is actively monitored</t>
  </si>
  <si>
    <t>SUB22</t>
  </si>
  <si>
    <t>DAX Quality</t>
  </si>
  <si>
    <t>PERF02</t>
  </si>
  <si>
    <t>DAX best practices followed</t>
  </si>
  <si>
    <t>Poor DAX affects performance and maintainability</t>
  </si>
  <si>
    <t>PERF02_S1</t>
  </si>
  <si>
    <t>DAX is trial and error</t>
  </si>
  <si>
    <t>PERF02_S2</t>
  </si>
  <si>
    <t>Some best practices are used</t>
  </si>
  <si>
    <t>PERF02_S3</t>
  </si>
  <si>
    <t>Most measures follow good practices</t>
  </si>
  <si>
    <t>PERF02_S4</t>
  </si>
  <si>
    <t>DAX follows defined standards</t>
  </si>
  <si>
    <t>PERF02_S5</t>
  </si>
  <si>
    <t>DAX is reviewed and optimized</t>
  </si>
  <si>
    <t>SUB23</t>
  </si>
  <si>
    <t>UX &amp; Visuals</t>
  </si>
  <si>
    <t>PERF03</t>
  </si>
  <si>
    <t>Visuals optimized and purposeful</t>
  </si>
  <si>
    <t>Too many visuals impact UX and performance</t>
  </si>
  <si>
    <t>PERF03_S1</t>
  </si>
  <si>
    <t>We add visuals freely</t>
  </si>
  <si>
    <t>PERF03_S2</t>
  </si>
  <si>
    <t>Some reports are cluttered</t>
  </si>
  <si>
    <t>PERF03_S3</t>
  </si>
  <si>
    <t>Most visuals are purposeful</t>
  </si>
  <si>
    <t>PERF03_S4</t>
  </si>
  <si>
    <t>Visuals follow UX guidelines</t>
  </si>
  <si>
    <t>PERF03_S5</t>
  </si>
  <si>
    <t>UX is reviewed with users</t>
  </si>
  <si>
    <t>SUB24</t>
  </si>
  <si>
    <t>Query Performance</t>
  </si>
  <si>
    <t>PERF04</t>
  </si>
  <si>
    <t>Query folding preserved</t>
  </si>
  <si>
    <t>Broken folding increases refresh time and load</t>
  </si>
  <si>
    <t>PERF04_S1</t>
  </si>
  <si>
    <t>We don’t check query folding</t>
  </si>
  <si>
    <t>PERF04_S2</t>
  </si>
  <si>
    <t>We’re aware of it</t>
  </si>
  <si>
    <t>PERF04_S3</t>
  </si>
  <si>
    <t>We try to preserve it</t>
  </si>
  <si>
    <t>PERF04_S4</t>
  </si>
  <si>
    <t>Query folding is standard</t>
  </si>
  <si>
    <t>PERF04_S5</t>
  </si>
  <si>
    <t>Folding is validated regularly</t>
  </si>
  <si>
    <t>SUB25</t>
  </si>
  <si>
    <t>Storage Mode</t>
  </si>
  <si>
    <t>PERF05</t>
  </si>
  <si>
    <t>Storage mode appropriate</t>
  </si>
  <si>
    <t>Incorrect storage mode causes performance issues</t>
  </si>
  <si>
    <t>PERF05_S1</t>
  </si>
  <si>
    <t>We use DirectQuery by default</t>
  </si>
  <si>
    <t>PERF05_S2</t>
  </si>
  <si>
    <t>Storage mode choices are unclear</t>
  </si>
  <si>
    <t>PERF05_S3</t>
  </si>
  <si>
    <t>Storage mode is usually correct</t>
  </si>
  <si>
    <t>PERF05_S4</t>
  </si>
  <si>
    <t>Storage mode is chosen intentionally</t>
  </si>
  <si>
    <t>PERF05_S5</t>
  </si>
  <si>
    <t>Storage mode is reviewed per use case</t>
  </si>
  <si>
    <t>CAT06</t>
  </si>
  <si>
    <t>Security &amp; Access Control</t>
  </si>
  <si>
    <t>SUB26</t>
  </si>
  <si>
    <t>Access Management</t>
  </si>
  <si>
    <t>SEC01</t>
  </si>
  <si>
    <t>Least privilege access applied</t>
  </si>
  <si>
    <t>Excess access increases data exposure risk</t>
  </si>
  <si>
    <t>SEC01_S1</t>
  </si>
  <si>
    <t>Many people are admins</t>
  </si>
  <si>
    <t>SEC01_S2</t>
  </si>
  <si>
    <t>Access is mostly open</t>
  </si>
  <si>
    <t>SEC01_S3</t>
  </si>
  <si>
    <t>Some restriction exists</t>
  </si>
  <si>
    <t>SEC01_S4</t>
  </si>
  <si>
    <t>Access follows least privilege</t>
  </si>
  <si>
    <t>SEC01_S5</t>
  </si>
  <si>
    <t>Access is reviewed regularly</t>
  </si>
  <si>
    <t>SUB27</t>
  </si>
  <si>
    <t>Row-Level Security</t>
  </si>
  <si>
    <t>SEC02</t>
  </si>
  <si>
    <t>RLS implemented and tested</t>
  </si>
  <si>
    <t>Missing RLS is a regulatory and trust risk</t>
  </si>
  <si>
    <t>SEC02_S1</t>
  </si>
  <si>
    <t>Everyone sees everything</t>
  </si>
  <si>
    <t>SEC02_S2</t>
  </si>
  <si>
    <t>Some reports have RLS</t>
  </si>
  <si>
    <t>SEC02_S3</t>
  </si>
  <si>
    <t>RLS exists but isn’t tested regularly</t>
  </si>
  <si>
    <t>SEC02_S4</t>
  </si>
  <si>
    <t>RLS is applied and tested before release</t>
  </si>
  <si>
    <t>SEC02_S5</t>
  </si>
  <si>
    <t>RLS is audited and governed</t>
  </si>
  <si>
    <t>SUB28</t>
  </si>
  <si>
    <t>Admin Rights</t>
  </si>
  <si>
    <t>SEC03</t>
  </si>
  <si>
    <t>Admin access limited</t>
  </si>
  <si>
    <t>Too many admins reduce control and auditability</t>
  </si>
  <si>
    <t>SEC03_S1</t>
  </si>
  <si>
    <t>Many global admins</t>
  </si>
  <si>
    <t>SEC03_S2</t>
  </si>
  <si>
    <t>Admins are not reviewed</t>
  </si>
  <si>
    <t>SEC03_S3</t>
  </si>
  <si>
    <t>Admin access is mostly controlled</t>
  </si>
  <si>
    <t>SEC03_S4</t>
  </si>
  <si>
    <t>Admin access is restricted</t>
  </si>
  <si>
    <t>SEC03_S5</t>
  </si>
  <si>
    <t>Admin access is audited</t>
  </si>
  <si>
    <t>SUB29</t>
  </si>
  <si>
    <t>External Sharing</t>
  </si>
  <si>
    <t>SEC04</t>
  </si>
  <si>
    <t>External sharing controlled</t>
  </si>
  <si>
    <t>Uncontrolled sharing risks data leakage</t>
  </si>
  <si>
    <t>SEC04_S1</t>
  </si>
  <si>
    <t>Anyone can share externally</t>
  </si>
  <si>
    <t>SEC04_S2</t>
  </si>
  <si>
    <t>Sharing is loosely controlled</t>
  </si>
  <si>
    <t>SEC04_S3</t>
  </si>
  <si>
    <t>Some controls exist</t>
  </si>
  <si>
    <t>SEC04_S4</t>
  </si>
  <si>
    <t>External sharing is restricted</t>
  </si>
  <si>
    <t>SEC04_S5</t>
  </si>
  <si>
    <t>External sharing is governed and logged</t>
  </si>
  <si>
    <t>SUB30</t>
  </si>
  <si>
    <t>Data Classification</t>
  </si>
  <si>
    <t>SEC05</t>
  </si>
  <si>
    <t>Sensitivity labels applied</t>
  </si>
  <si>
    <t>Labels help classify and protect sensitive data</t>
  </si>
  <si>
    <t>SEC05_S1</t>
  </si>
  <si>
    <t>We don’t use labels</t>
  </si>
  <si>
    <t>SEC05_S2</t>
  </si>
  <si>
    <t>Some reports have labels</t>
  </si>
  <si>
    <t>SEC05_S3</t>
  </si>
  <si>
    <t>Important reports are labeled</t>
  </si>
  <si>
    <t>SEC05_S4</t>
  </si>
  <si>
    <t>Labels are applied consistently</t>
  </si>
  <si>
    <t>SEC05_S5</t>
  </si>
  <si>
    <t>Labeling is enforced</t>
  </si>
  <si>
    <t>CAT07</t>
  </si>
  <si>
    <t>Development Standards &amp; Governance</t>
  </si>
  <si>
    <t>SUB31</t>
  </si>
  <si>
    <t>Standards</t>
  </si>
  <si>
    <t>GOV01</t>
  </si>
  <si>
    <t>Development standards documented</t>
  </si>
  <si>
    <t>Without standards, scaling leads to inconsistency and rework</t>
  </si>
  <si>
    <t>GOV01_S1</t>
  </si>
  <si>
    <t>Everyone builds their own way</t>
  </si>
  <si>
    <t>GOV01_S2</t>
  </si>
  <si>
    <t>Some guidelines exist</t>
  </si>
  <si>
    <t>GOV01_S3</t>
  </si>
  <si>
    <t>Standards exist but aren’t always followed</t>
  </si>
  <si>
    <t>GOV01_S4</t>
  </si>
  <si>
    <t>Standards are followed</t>
  </si>
  <si>
    <t>GOV01_S5</t>
  </si>
  <si>
    <t>Standards are enforced and reviewed</t>
  </si>
  <si>
    <t>SUB32</t>
  </si>
  <si>
    <t>Version Control</t>
  </si>
  <si>
    <t>GOV02</t>
  </si>
  <si>
    <t>Version control strategy exists</t>
  </si>
  <si>
    <t>Lack of versioning increases error and rollback risk</t>
  </si>
  <si>
    <t>GOV02_S1</t>
  </si>
  <si>
    <t>We overwrite files</t>
  </si>
  <si>
    <t>GOV02_S2</t>
  </si>
  <si>
    <t>We save copies manually</t>
  </si>
  <si>
    <t>GOV02_S3</t>
  </si>
  <si>
    <t>Some versioning exists</t>
  </si>
  <si>
    <t>GOV02_S4</t>
  </si>
  <si>
    <t>Version control is standard</t>
  </si>
  <si>
    <t>GOV02_S5</t>
  </si>
  <si>
    <t>Version control is integrated into delivery</t>
  </si>
  <si>
    <t>SUB33</t>
  </si>
  <si>
    <t>Deployment</t>
  </si>
  <si>
    <t>GOV03</t>
  </si>
  <si>
    <t>Deployment process defined</t>
  </si>
  <si>
    <t>Uncontrolled deployments risk breaking production</t>
  </si>
  <si>
    <t>GOV03_S1</t>
  </si>
  <si>
    <t>We publish directly to production</t>
  </si>
  <si>
    <t>GOV03_S2</t>
  </si>
  <si>
    <t>Deployments are manual and inconsistent</t>
  </si>
  <si>
    <t>GOV03_S3</t>
  </si>
  <si>
    <t>Some structure exists for deployments</t>
  </si>
  <si>
    <t>GOV03_S4</t>
  </si>
  <si>
    <t>Deployments follow a defined process</t>
  </si>
  <si>
    <t>GOV03_S5</t>
  </si>
  <si>
    <t>Deployments are automated</t>
  </si>
  <si>
    <t>SUB34</t>
  </si>
  <si>
    <t>Change Management</t>
  </si>
  <si>
    <t>GOV04</t>
  </si>
  <si>
    <t>Changes are communicated</t>
  </si>
  <si>
    <t>Uncommunicated changes disrupt business users</t>
  </si>
  <si>
    <t>GOV04_S1</t>
  </si>
  <si>
    <t>Users are surprised by changes</t>
  </si>
  <si>
    <t>GOV04_S2</t>
  </si>
  <si>
    <t>We sometimes inform users</t>
  </si>
  <si>
    <t>GOV04_S3</t>
  </si>
  <si>
    <t>Major changes are communicated</t>
  </si>
  <si>
    <t>GOV04_S4</t>
  </si>
  <si>
    <t>Changes are always communicated</t>
  </si>
  <si>
    <t>GOV04_S5</t>
  </si>
  <si>
    <t>Formal change management process exists</t>
  </si>
  <si>
    <t>SUB35</t>
  </si>
  <si>
    <t>Quality Control</t>
  </si>
  <si>
    <t>GOV05</t>
  </si>
  <si>
    <t>Peer review process exists</t>
  </si>
  <si>
    <t>Peer review improves quality but is not blocking</t>
  </si>
  <si>
    <t>GOV05_S1</t>
  </si>
  <si>
    <t>No reviews are done</t>
  </si>
  <si>
    <t>GOV05_S2</t>
  </si>
  <si>
    <t>Occasional informal reviews</t>
  </si>
  <si>
    <t>GOV05_S3</t>
  </si>
  <si>
    <t>Some peer review exists</t>
  </si>
  <si>
    <t>GOV05_S4</t>
  </si>
  <si>
    <t>Peer review is standard practice</t>
  </si>
  <si>
    <t>GOV05_S5</t>
  </si>
  <si>
    <t>Peer review is mandatory</t>
  </si>
  <si>
    <t>CAT08</t>
  </si>
  <si>
    <t>BI Operations</t>
  </si>
  <si>
    <t>SUB36</t>
  </si>
  <si>
    <t>OPS01</t>
  </si>
  <si>
    <t>Dataset ownership clearly defined</t>
  </si>
  <si>
    <t>Lack of ownership leads to orphaned and fragile assets</t>
  </si>
  <si>
    <t>OPS01_S1</t>
  </si>
  <si>
    <t>No clear owner exists</t>
  </si>
  <si>
    <t>OPS01_S2</t>
  </si>
  <si>
    <t>Ownership is informal</t>
  </si>
  <si>
    <t>OPS01_S3</t>
  </si>
  <si>
    <t>Most datasets have owners</t>
  </si>
  <si>
    <t>OPS01_S4</t>
  </si>
  <si>
    <t>Ownership is clearly defined</t>
  </si>
  <si>
    <t>OPS01_S5</t>
  </si>
  <si>
    <t>SUB37</t>
  </si>
  <si>
    <t>Monitoring</t>
  </si>
  <si>
    <t>OPS02</t>
  </si>
  <si>
    <t>Usage and refresh monitored</t>
  </si>
  <si>
    <t>Lack of monitoring prevents proactive issue resolution</t>
  </si>
  <si>
    <t>OPS02_S1</t>
  </si>
  <si>
    <t>We react when users complain</t>
  </si>
  <si>
    <t>OPS02_S2</t>
  </si>
  <si>
    <t>We check manually when needed</t>
  </si>
  <si>
    <t>OPS02_S3</t>
  </si>
  <si>
    <t>We review metrics occasionally</t>
  </si>
  <si>
    <t>OPS02_S4</t>
  </si>
  <si>
    <t>Monitoring is regular</t>
  </si>
  <si>
    <t>OPS02_S5</t>
  </si>
  <si>
    <t>Monitoring is proactive and automated</t>
  </si>
  <si>
    <t>SUB38</t>
  </si>
  <si>
    <t>Lifecycle Management</t>
  </si>
  <si>
    <t>OPS03</t>
  </si>
  <si>
    <t>Obsolete reports retired</t>
  </si>
  <si>
    <t>Old reports increase confusion and maintenance cost</t>
  </si>
  <si>
    <t>OPS03_S1</t>
  </si>
  <si>
    <t>Old reports stay forever</t>
  </si>
  <si>
    <t>OPS03_S2</t>
  </si>
  <si>
    <t>We rarely remove reports</t>
  </si>
  <si>
    <t>OPS03_S3</t>
  </si>
  <si>
    <t>Some cleanup happens</t>
  </si>
  <si>
    <t>OPS03_S4</t>
  </si>
  <si>
    <t>Reports are regularly reviewed</t>
  </si>
  <si>
    <t>OPS03_S5</t>
  </si>
  <si>
    <t>Formal lifecycle management exists</t>
  </si>
  <si>
    <t>SUB39</t>
  </si>
  <si>
    <t>Incident Management</t>
  </si>
  <si>
    <t>OPS04</t>
  </si>
  <si>
    <t>Incident response process exists</t>
  </si>
  <si>
    <t>Slow response increases downtime and user impact</t>
  </si>
  <si>
    <t>OPS04_S1</t>
  </si>
  <si>
    <t>No defined response process</t>
  </si>
  <si>
    <t>OPS04_S2</t>
  </si>
  <si>
    <t>We react ad hoc</t>
  </si>
  <si>
    <t>OPS04_S3</t>
  </si>
  <si>
    <t>Some process exists</t>
  </si>
  <si>
    <t>OPS04_S4</t>
  </si>
  <si>
    <t>Incidents follow a defined process</t>
  </si>
  <si>
    <t>OPS04_S5</t>
  </si>
  <si>
    <t>Incidents are tracked and reviewed</t>
  </si>
  <si>
    <t>SUB40</t>
  </si>
  <si>
    <t>Licensing</t>
  </si>
  <si>
    <t>OPS05</t>
  </si>
  <si>
    <t>Licensing strategy understood</t>
  </si>
  <si>
    <t>Poor licensing leads to unnecessary cost or constraints</t>
  </si>
  <si>
    <t>OPS05_S1</t>
  </si>
  <si>
    <t>We’re not sure what licenses we need</t>
  </si>
  <si>
    <t>OPS05_S2</t>
  </si>
  <si>
    <t>Licenses were bought ad hoc</t>
  </si>
  <si>
    <t>OPS05_S3</t>
  </si>
  <si>
    <t>Licensing mostly fits usage</t>
  </si>
  <si>
    <t>OPS05_S4</t>
  </si>
  <si>
    <t>Licensing is optimized</t>
  </si>
  <si>
    <t>OPS05_S5</t>
  </si>
  <si>
    <t>Licensing is reviewed strategically</t>
  </si>
  <si>
    <t>CAT09</t>
  </si>
  <si>
    <t>Adoption &amp; Enablement</t>
  </si>
  <si>
    <t>SUB41</t>
  </si>
  <si>
    <t>Training</t>
  </si>
  <si>
    <t>ADP01</t>
  </si>
  <si>
    <t>Users receive Power BI training</t>
  </si>
  <si>
    <t>Lack of training limits adoption and self-service</t>
  </si>
  <si>
    <t>ADP01_S1</t>
  </si>
  <si>
    <t>No formal training is provided</t>
  </si>
  <si>
    <t>ADP01_S2</t>
  </si>
  <si>
    <t>Some informal help exists</t>
  </si>
  <si>
    <t>ADP01_S3</t>
  </si>
  <si>
    <t>Basic training exists</t>
  </si>
  <si>
    <t>ADP01_S4</t>
  </si>
  <si>
    <t>Regular training sessions are held</t>
  </si>
  <si>
    <t>ADP01_S5</t>
  </si>
  <si>
    <t>Continuous enablement program exists</t>
  </si>
  <si>
    <t>SUB42</t>
  </si>
  <si>
    <t>Documentation</t>
  </si>
  <si>
    <t>ADP02</t>
  </si>
  <si>
    <t>Documentation accessible</t>
  </si>
  <si>
    <t>Poor documentation slows usage and support</t>
  </si>
  <si>
    <t>ADP02_S1</t>
  </si>
  <si>
    <t>No documentation exists</t>
  </si>
  <si>
    <t>ADP02_S2</t>
  </si>
  <si>
    <t>Some documents exist but are hard to find</t>
  </si>
  <si>
    <t>ADP02_S3</t>
  </si>
  <si>
    <t>Key documentation exists</t>
  </si>
  <si>
    <t>ADP02_S4</t>
  </si>
  <si>
    <t>Documentation is easy to find</t>
  </si>
  <si>
    <t>ADP02_S5</t>
  </si>
  <si>
    <t>Documentation is maintained and updated</t>
  </si>
  <si>
    <t>SUB43</t>
  </si>
  <si>
    <t>Support</t>
  </si>
  <si>
    <t>ADP03</t>
  </si>
  <si>
    <t>Clear support channels exist</t>
  </si>
  <si>
    <t>Unclear support increases frustration and delays</t>
  </si>
  <si>
    <t>ADP03_S1</t>
  </si>
  <si>
    <t>Users message whoever they know</t>
  </si>
  <si>
    <t>ADP03_S2</t>
  </si>
  <si>
    <t>Support is informal</t>
  </si>
  <si>
    <t>ADP03_S3</t>
  </si>
  <si>
    <t>Some support structure exists</t>
  </si>
  <si>
    <t>ADP03_S4</t>
  </si>
  <si>
    <t>Clear support channels are defined</t>
  </si>
  <si>
    <t>ADP03_S5</t>
  </si>
  <si>
    <t>Support SLAs exist</t>
  </si>
  <si>
    <t>SUB44</t>
  </si>
  <si>
    <t>Feedback</t>
  </si>
  <si>
    <t>ADP04</t>
  </si>
  <si>
    <t>User feedback collected</t>
  </si>
  <si>
    <t>Feedback enables continuous improvement</t>
  </si>
  <si>
    <t>ADP04_S1</t>
  </si>
  <si>
    <t>We don’t collect feedback</t>
  </si>
  <si>
    <t>ADP04_S2</t>
  </si>
  <si>
    <t>Feedback is ad hoc</t>
  </si>
  <si>
    <t>ADP04_S3</t>
  </si>
  <si>
    <t>Some feedback is collected</t>
  </si>
  <si>
    <t>ADP04_S4</t>
  </si>
  <si>
    <t>Feedback is structured</t>
  </si>
  <si>
    <t>ADP04_S5</t>
  </si>
  <si>
    <t>Feedback drives improvements</t>
  </si>
  <si>
    <t>SUB45</t>
  </si>
  <si>
    <t>Adoption Metrics</t>
  </si>
  <si>
    <t>ADP05</t>
  </si>
  <si>
    <t>Adoption metrics tracked</t>
  </si>
  <si>
    <t>Without metrics, adoption cannot be improved</t>
  </si>
  <si>
    <t>ADP05_S1</t>
  </si>
  <si>
    <t>We don’t track usage</t>
  </si>
  <si>
    <t>ADP05_S2</t>
  </si>
  <si>
    <t>We occasionally check usage</t>
  </si>
  <si>
    <t>ADP05_S3</t>
  </si>
  <si>
    <t>Usage metrics are reviewed</t>
  </si>
  <si>
    <t>ADP05_S4</t>
  </si>
  <si>
    <t>Adoption is actively tracked</t>
  </si>
  <si>
    <t>ADP05_S5</t>
  </si>
  <si>
    <t>Metrics drive decisions</t>
  </si>
  <si>
    <t>CAT10</t>
  </si>
  <si>
    <t>CoE Readiness</t>
  </si>
  <si>
    <t>SUB46</t>
  </si>
  <si>
    <t>Strategy</t>
  </si>
  <si>
    <t>COE01</t>
  </si>
  <si>
    <t>Power BI CoE strategy defined</t>
  </si>
  <si>
    <t>Without a CoE strategy, scale and governance break down</t>
  </si>
  <si>
    <t>COE01_S1</t>
  </si>
  <si>
    <t>No CoE strategy exists</t>
  </si>
  <si>
    <t>COE01_S2</t>
  </si>
  <si>
    <t>Some ideas exist but nothing formal</t>
  </si>
  <si>
    <t>COE01_S3</t>
  </si>
  <si>
    <t>Strategy exists but isn’t widely known</t>
  </si>
  <si>
    <t>COE01_S4</t>
  </si>
  <si>
    <t>Strategy is documented and shared</t>
  </si>
  <si>
    <t>COE01_S5</t>
  </si>
  <si>
    <t>Strategy is reviewed and executed</t>
  </si>
  <si>
    <t>SUB47</t>
  </si>
  <si>
    <t>Roles</t>
  </si>
  <si>
    <t>COE02</t>
  </si>
  <si>
    <t>CoE roles and responsibilities defined</t>
  </si>
  <si>
    <t>Undefined roles create bottlenecks and confusion</t>
  </si>
  <si>
    <t>COE02_S1</t>
  </si>
  <si>
    <t>No formal CoE roles exist</t>
  </si>
  <si>
    <t>COE02_S2</t>
  </si>
  <si>
    <t>Some informal roles exist</t>
  </si>
  <si>
    <t>COE02_S3</t>
  </si>
  <si>
    <t>Roles exist but are unclear</t>
  </si>
  <si>
    <t>COE02_S4</t>
  </si>
  <si>
    <t>Roles are clearly defined</t>
  </si>
  <si>
    <t>COE02_S5</t>
  </si>
  <si>
    <t>Roles are staffed and operational</t>
  </si>
  <si>
    <t>SUB48</t>
  </si>
  <si>
    <t>Operating Model</t>
  </si>
  <si>
    <t>COE03</t>
  </si>
  <si>
    <t>CoE operating model defined</t>
  </si>
  <si>
    <t>Operating model defines how CoE delivers value</t>
  </si>
  <si>
    <t>COE03_S1</t>
  </si>
  <si>
    <t>No operating model exists</t>
  </si>
  <si>
    <t>COE03_S2</t>
  </si>
  <si>
    <t>Some practices exist</t>
  </si>
  <si>
    <t>COE03_S3</t>
  </si>
  <si>
    <t>Operating model exists but isn’t consistent</t>
  </si>
  <si>
    <t>COE03_S4</t>
  </si>
  <si>
    <t>Operating model is defined</t>
  </si>
  <si>
    <t>COE03_S5</t>
  </si>
  <si>
    <t>Operating model is optimized</t>
  </si>
  <si>
    <t>SUB49</t>
  </si>
  <si>
    <t>Funding</t>
  </si>
  <si>
    <t>COE04</t>
  </si>
  <si>
    <t>CoE funding model defined</t>
  </si>
  <si>
    <t>Lack of funding limits sustainability</t>
  </si>
  <si>
    <t>COE04_S1</t>
  </si>
  <si>
    <t>No funding model exists</t>
  </si>
  <si>
    <t>COE04_S2</t>
  </si>
  <si>
    <t>Funding is ad hoc</t>
  </si>
  <si>
    <t>COE04_S3</t>
  </si>
  <si>
    <t>Some funding exists</t>
  </si>
  <si>
    <t>COE04_S4</t>
  </si>
  <si>
    <t>Funding is planned</t>
  </si>
  <si>
    <t>COE04_S5</t>
  </si>
  <si>
    <t>Funding is secured</t>
  </si>
  <si>
    <t>SUB50</t>
  </si>
  <si>
    <t>Maturity Tracking</t>
  </si>
  <si>
    <t>COE05</t>
  </si>
  <si>
    <t>Maturity tracked over time</t>
  </si>
  <si>
    <t>Tracking maturity enables continuous improvement</t>
  </si>
  <si>
    <t>COE05_S1</t>
  </si>
  <si>
    <t>We don’t track maturity</t>
  </si>
  <si>
    <t>COE05_S2</t>
  </si>
  <si>
    <t>We track occasionally</t>
  </si>
  <si>
    <t>COE05_S3</t>
  </si>
  <si>
    <t>Maturity is tracked</t>
  </si>
  <si>
    <t>COE05_S4</t>
  </si>
  <si>
    <t>Trends are reviewed</t>
  </si>
  <si>
    <t>COE05_S5</t>
  </si>
  <si>
    <t>Maturity drives roadmap decisions</t>
  </si>
  <si>
    <t>Risk</t>
  </si>
  <si>
    <t>Fix</t>
  </si>
  <si>
    <t>Affected Users</t>
  </si>
  <si>
    <t>Detailed Risk Explanation</t>
  </si>
  <si>
    <t>Current state functional but limits optimization</t>
  </si>
  <si>
    <t>Establish formal objectives framework immediately using Power BI best practices</t>
  </si>
  <si>
    <t>Entire organization (20+ people)</t>
  </si>
  <si>
    <t>Without documented Power BI objectives in your CoE strategy: 1) Reports built reactively in 'My Workspace' instead of governed workspaces - check Admin Portal &gt; Usage metrics showing 40% of content in personal workspaces. 2) Can't justify Premium capacity costs to finance - no documented success metrics to show in Power BI App usage reports. 3) Power BI Admin can't prioritize tenant setting changes without clear objectives. 4) Deployment pipeline strategy undefined. 5) Can't measure adoption via Admin Portal &gt; Usage metrics. Reference: Power BI Adoption Framework.</t>
  </si>
  <si>
    <t>Critical absence creates operational chaos with uncontrolled processes and compliance exposure</t>
  </si>
  <si>
    <t>Develop objectives guidelines and configure Power BI settings</t>
  </si>
  <si>
    <t>Multiple departments (12-20 people)</t>
  </si>
  <si>
    <t>Undocumented Power BI objectives: 1) Admins make tenant setting decisions inconsistently. 2) Premium capacity sizing guesswork - P1 (8.5 vCores) vs P2 (17 vCores) unclear. 3) Workspace licensing inconsistent (Pro vs PPU vs Premium). 4) External sharing policy unclear. 5) Gateway strategy undefined. Reference: Power BI licensing decision tree.</t>
  </si>
  <si>
    <t>Partial implementation creates gaps and inconsistent outcomes</t>
  </si>
  <si>
    <t>Standardize objectives approach with templates and monitoring</t>
  </si>
  <si>
    <t>BI team + stakeholders (8-12 people)</t>
  </si>
  <si>
    <t>Fragmented objectives: 1) Can't share datasets across licensing boundaries ('upgrade to Premium' errors). 2) Different RLS approaches by department. 3) Inconsistent ALM (deployment pipelines vs XMLA vs manual). 4) Dataflow usage inconsistent. 5) Sensitivity label application varies. Reference: Enterprise governance.</t>
  </si>
  <si>
    <t>Basic implementation lacks depth for scale</t>
  </si>
  <si>
    <t>Enhance objectives with Admin Portal monitoring</t>
  </si>
  <si>
    <t>BI team members (3-5 people)</t>
  </si>
  <si>
    <t>Documented but inconsistently followed: 1) Teams bypass Premium for 1GB datasets. 2) Exceptions to deployment pipeline standard. 3) Personal gateways installed despite policy. 4) Dataflow-first strategy ignored. 5) Workspace naming not followed. Reference: Governance enforcement.</t>
  </si>
  <si>
    <t>Mature objectives: Documented strategy for capacity, licensing, workspace taxonomy, development lifecycle, gateway architecture, security model, sharing model. Visible in CoE, enforced via tenant settings, monitored via Admin API. Reference: Power BI CoE toolkit.</t>
  </si>
  <si>
    <t>Develop audiences guidelines and configure Power BI settings</t>
  </si>
  <si>
    <t>Significant Power BI gap - Target audiences clearly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</si>
  <si>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Informal approach leads to inconsistent execution and governance gaps</t>
  </si>
  <si>
    <t>Standardize audiences approach with templates and monitoring</t>
  </si>
  <si>
    <t>Moderate Power BI gap - Target audiences clearly defined: Basic functionality works but not optimized, some inconsistency, manual processes could use Power BI APIs, limited monitoring, missing advanced features. Improve: standardize, document, enhance Admin Portal monitoring. Reference: Power BI optimization guides.</t>
  </si>
  <si>
    <t>Enhance audiences with Admin Portal monitoring</t>
  </si>
  <si>
    <t>Power BI Target audiences clearly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</si>
  <si>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kpis framework immediately using Power BI best practices</t>
  </si>
  <si>
    <t>Critical gap in Power BI KPIs - KPIs consistently defined: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</si>
  <si>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kpis guidelines and configure Power BI settings</t>
  </si>
  <si>
    <t>Significant Power BI gap - KPIs consistently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</si>
  <si>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kpis approach with templates and monitoring</t>
  </si>
  <si>
    <t>Moderate Power BI gap - KPIs consistently defined: Basic functionality works but not optimized, some inconsistency, manual processes could use Power BI APIs, limited monitoring, missing advanced features. Improve: standardize, document, enhance Admin Portal monitoring. Reference: Power BI optimization guides.</t>
  </si>
  <si>
    <t>Enhance kpis with Admin Portal monitoring</t>
  </si>
  <si>
    <t>Power BI KPIs consistently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</si>
  <si>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ownership guidelines and configure Power BI settings</t>
  </si>
  <si>
    <t>Significant Power BI gap - Business vs IT responsibilities clear: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</si>
  <si>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ownership approach with templates and monitoring</t>
  </si>
  <si>
    <t>Moderate Power BI gap - Business vs IT responsibilities clear: Basic functionality works but not optimized, some inconsistency, manual processes could use Power BI APIs, limited monitoring, missing advanced features. Improve: standardize, document, enhance Admin Portal monitoring. Reference: Power BI optimization guides.</t>
  </si>
  <si>
    <t>Enhance ownership with Admin Portal monitoring</t>
  </si>
  <si>
    <t>Power BI Business vs IT responsibilities clear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</si>
  <si>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demand guidelines and configure Power BI settings</t>
  </si>
  <si>
    <t>Significant Power BI gap - Reporting demand prioritized: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</si>
  <si>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demand approach with templates and monitoring</t>
  </si>
  <si>
    <t>Moderate Power BI gap - Reporting demand prioritized: Basic functionality works but not optimized, some inconsistency, manual processes could use Power BI APIs, limited monitoring, missing advanced features. Improve: standardize, document, enhance Admin Portal monitoring. Reference: Power BI optimization guides.</t>
  </si>
  <si>
    <t>Enhance demand with Admin Portal monitoring</t>
  </si>
  <si>
    <t>Power BI Reporting demand prioritized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</si>
  <si>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Standardize naming approach with templates and monitoring</t>
  </si>
  <si>
    <t>Moderate Power BI gap - Workspace naming convention: Basic functionality works but not optimized, some inconsistency, manual processes could use Power BI APIs, limited monitoring, missing advanced features. Improve: standardize, document, enhance Admin Portal monitoring. Reference: Power BI optimization guides.</t>
  </si>
  <si>
    <t>Enhance naming with Admin Portal monitoring</t>
  </si>
  <si>
    <t>Power BI Workspace naming convention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</si>
  <si>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environments framework immediately using Power BI best practices</t>
  </si>
  <si>
    <t>Critical gap in Power BI Environments - Dev/Test/Prod separation: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</si>
  <si>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environments guidelines and configure Power BI settings</t>
  </si>
  <si>
    <t>Significant Power BI gap - Dev/Test/Prod separation: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</si>
  <si>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environments approach with templates and monitoring</t>
  </si>
  <si>
    <t>Moderate Power BI gap - Dev/Test/Prod separation: Basic functionality works but not optimized, some inconsistency, manual processes could use Power BI APIs, limited monitoring, missing advanced features. Improve: standardize, document, enhance Admin Portal monitoring. Reference: Power BI optimization guides.</t>
  </si>
  <si>
    <t>Enhance environments with Admin Portal monitoring</t>
  </si>
  <si>
    <t>Power BI Dev/Test/Prod separation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</si>
  <si>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Significant Power BI gap - Workspace ownership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</si>
  <si>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Moderate Power BI gap - Workspace ownership defined: Basic functionality works but not optimized, some inconsistency, manual processes could use Power BI APIs, limited monitoring, missing advanced features. Improve: standardize, document, enhance Admin Portal monitoring. Reference: Power BI optimization guides.</t>
  </si>
  <si>
    <t>Power BI Workspace ownership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</si>
  <si>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governance guidelines and configure Power BI settings</t>
  </si>
  <si>
    <t>Significant Power BI gap - Workspace creation controlled: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</si>
  <si>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governance approach with templates and monitoring</t>
  </si>
  <si>
    <t>Moderate Power BI gap - Workspace creation controlled: Basic functionality works but not optimized, some inconsistency, manual processes could use Power BI APIs, limited monitoring, missing advanced features. Improve: standardize, document, enhance Admin Portal monitoring. Reference: Power BI optimization guides.</t>
  </si>
  <si>
    <t>Enhance governance with Admin Portal monitoring</t>
  </si>
  <si>
    <t>Power BI Workspace creation controlled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</si>
  <si>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production usage framework immediately using Power BI best practices</t>
  </si>
  <si>
    <t>Critical gap in Power BI Production Usage - No production in My Workspace: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</si>
  <si>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production usage guidelines and configure Power BI settings</t>
  </si>
  <si>
    <t>Significant Power BI gap - No production in My Workspace: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</si>
  <si>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production usage approach with templates and monitoring</t>
  </si>
  <si>
    <t>Moderate Power BI gap - No production in My Workspace: Basic functionality works but not optimized, some inconsistency, manual processes could use Power BI APIs, limited monitoring, missing advanced features. Improve: standardize, document, enhance Admin Portal monitoring. Reference: Power BI optimization guides.</t>
  </si>
  <si>
    <t>Enhance production usage with Admin Portal monitoring</t>
  </si>
  <si>
    <t>Power BI No production in My Workspace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</si>
  <si>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schema design framework immediately using Power BI best practices</t>
  </si>
  <si>
    <t>Critical gap in Power BI Schema Design - Star schema usage: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</si>
  <si>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schema design guidelines and configure Power BI settings</t>
  </si>
  <si>
    <t>Significant Power BI gap - Star schema usage: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</si>
  <si>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schema design approach with templates and monitoring</t>
  </si>
  <si>
    <t>Moderate Power BI gap - Star schema usage: Basic functionality works but not optimized, some inconsistency, manual processes could use Power BI APIs, limited monitoring, missing advanced features. Improve: standardize, document, enhance Admin Portal monitoring. Reference: Power BI optimization guides.</t>
  </si>
  <si>
    <t>Enhance schema design with Admin Portal monitoring</t>
  </si>
  <si>
    <t>Power BI Star schema usage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</si>
  <si>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reuse framework immediately using Power BI best practices</t>
  </si>
  <si>
    <t>Critical gap in Power BI Reuse - Shared datasets used: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</si>
  <si>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reuse guidelines and configure Power BI settings</t>
  </si>
  <si>
    <t>Significant Power BI gap - Shared datasets used: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</si>
  <si>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reuse approach with templates and monitoring</t>
  </si>
  <si>
    <t>Moderate Power BI gap - Shared datasets used: Basic functionality works but not optimized, some inconsistency, manual processes could use Power BI APIs, limited monitoring, missing advanced features. Improve: standardize, document, enhance Admin Portal monitoring. Reference: Power BI optimization guides.</t>
  </si>
  <si>
    <t>Enhance reuse with Admin Portal monitoring</t>
  </si>
  <si>
    <t>Power BI Shared datasets used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</si>
  <si>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measures guidelines and configure Power BI settings</t>
  </si>
  <si>
    <t>Significant Power BI gap - Measures centralized and documented: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</si>
  <si>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measures approach with templates and monitoring</t>
  </si>
  <si>
    <t>Moderate Power BI gap - Measures centralized and documented: Basic functionality works but not optimized, some inconsistency, manual processes could use Power BI APIs, limited monitoring, missing advanced features. Improve: standardize, document, enhance Admin Portal monitoring. Reference: Power BI optimization guides.</t>
  </si>
  <si>
    <t>Enhance measures with Admin Portal monitoring</t>
  </si>
  <si>
    <t>Power BI Measures centralized and documented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</si>
  <si>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optimization guidelines and configure Power BI settings</t>
  </si>
  <si>
    <t>Significant Power BI gap - Model size optimized: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</si>
  <si>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optimization approach with templates and monitoring</t>
  </si>
  <si>
    <t>Moderate Power BI gap - Model size optimized: Basic functionality works but not optimized, some inconsistency, manual processes could use Power BI APIs, limited monitoring, missing advanced features. Improve: standardize, document, enhance Admin Portal monitoring. Reference: Power BI optimization guides.</t>
  </si>
  <si>
    <t>Enhance optimization with Admin Portal monitoring</t>
  </si>
  <si>
    <t>Power BI Model size optimized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</si>
  <si>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relationships guidelines and configure Power BI settings</t>
  </si>
  <si>
    <t>Significant Power BI gap - Relationships correctly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</si>
  <si>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relationships approach with templates and monitoring</t>
  </si>
  <si>
    <t>Moderate Power BI gap - Relationships correctly defined: Basic functionality works but not optimized, some inconsistency, manual processes could use Power BI APIs, limited monitoring, missing advanced features. Improve: standardize, document, enhance Admin Portal monitoring. Reference: Power BI optimization guides.</t>
  </si>
  <si>
    <t>Enhance relationships with Admin Portal monitoring</t>
  </si>
  <si>
    <t>Power BI Relationships correctly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</si>
  <si>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data inventory guidelines and configure Power BI settings</t>
  </si>
  <si>
    <t>Significant Power BI gap - Data sources documented: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</si>
  <si>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data inventory approach with templates and monitoring</t>
  </si>
  <si>
    <t>Moderate Power BI gap - Data sources documented: Basic functionality works but not optimized, some inconsistency, manual processes could use Power BI APIs, limited monitoring, missing advanced features. Improve: standardize, document, enhance Admin Portal monitoring. Reference: Power BI optimization guides.</t>
  </si>
  <si>
    <t>Enhance data inventory with Admin Portal monitoring</t>
  </si>
  <si>
    <t>Power BI Data sources documented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</si>
  <si>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gateway framework immediately using Power BI best practices</t>
  </si>
  <si>
    <t>Critical gap in Power BI Gateway - Gateway configured and monitored: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</si>
  <si>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gateway guidelines and configure Power BI settings</t>
  </si>
  <si>
    <t>Significant Power BI gap - Gateway configured and monitored: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</si>
  <si>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gateway approach with templates and monitoring</t>
  </si>
  <si>
    <t>Moderate Power BI gap - Gateway configured and monitored: Basic functionality works but not optimized, some inconsistency, manual processes could use Power BI APIs, limited monitoring, missing advanced features. Improve: standardize, document, enhance Admin Portal monitoring. Reference: Power BI optimization guides.</t>
  </si>
  <si>
    <t>Enhance gateway with Admin Portal monitoring</t>
  </si>
  <si>
    <t>Power BI Gateway configured and monitored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</si>
  <si>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refresh strategy guidelines and configure Power BI settings</t>
  </si>
  <si>
    <t>Significant Power BI gap - Refresh schedules meet business needs: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</si>
  <si>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refresh strategy approach with templates and monitoring</t>
  </si>
  <si>
    <t>Moderate Power BI gap - Refresh schedules meet business needs: Basic functionality works but not optimized, some inconsistency, manual processes could use Power BI APIs, limited monitoring, missing advanced features. Improve: standardize, document, enhance Admin Portal monitoring. Reference: Power BI optimization guides.</t>
  </si>
  <si>
    <t>Enhance refresh strategy with Admin Portal monitoring</t>
  </si>
  <si>
    <t>Power BI Refresh schedules meet business needs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</si>
  <si>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scalability framework immediately using Power BI best practices</t>
  </si>
  <si>
    <t>Critical gap in Power BI Scalability - Incremental refresh used where applicable: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</si>
  <si>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scalability guidelines and configure Power BI settings</t>
  </si>
  <si>
    <t>Significant Power BI gap - Incremental refresh used where applicable: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</si>
  <si>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scalability approach with templates and monitoring</t>
  </si>
  <si>
    <t>Moderate Power BI gap - Incremental refresh used where applicable: Basic functionality works but not optimized, some inconsistency, manual processes could use Power BI APIs, limited monitoring, missing advanced features. Improve: standardize, document, enhance Admin Portal monitoring. Reference: Power BI optimization guides.</t>
  </si>
  <si>
    <t>Enhance scalability with Admin Portal monitoring</t>
  </si>
  <si>
    <t>Power BI Incremental refresh used where applicable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</si>
  <si>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credentials framework immediately using Power BI best practices</t>
  </si>
  <si>
    <t>Critical gap in Power BI Credentials - Credentials not tied to individuals: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</si>
  <si>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credentials guidelines and configure Power BI settings</t>
  </si>
  <si>
    <t>Significant Power BI gap - Credentials not tied to individuals: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</si>
  <si>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credentials approach with templates and monitoring</t>
  </si>
  <si>
    <t>Moderate Power BI gap - Credentials not tied to individuals: Basic functionality works but not optimized, some inconsistency, manual processes could use Power BI APIs, limited monitoring, missing advanced features. Improve: standardize, document, enhance Admin Portal monitoring. Reference: Power BI optimization guides.</t>
  </si>
  <si>
    <t>Enhance credentials with Admin Portal monitoring</t>
  </si>
  <si>
    <t>Power BI Credentials not tied to individuals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</si>
  <si>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performance framework immediately using Power BI best practices</t>
  </si>
  <si>
    <t>Critical gap in Power BI Performance - Report performance acceptable: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</si>
  <si>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performance guidelines and configure Power BI settings</t>
  </si>
  <si>
    <t>Significant Power BI gap - Report performance acceptable: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</si>
  <si>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performance approach with templates and monitoring</t>
  </si>
  <si>
    <t>Moderate Power BI gap - Report performance acceptable: Basic functionality works but not optimized, some inconsistency, manual processes could use Power BI APIs, limited monitoring, missing advanced features. Improve: standardize, document, enhance Admin Portal monitoring. Reference: Power BI optimization guides.</t>
  </si>
  <si>
    <t>Enhance performance with Admin Portal monitoring</t>
  </si>
  <si>
    <t>Power BI Report performance acceptable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</si>
  <si>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dax quality guidelines and configure Power BI settings</t>
  </si>
  <si>
    <t>Significant Power BI gap - DAX best practices followed: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</si>
  <si>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dax quality approach with templates and monitoring</t>
  </si>
  <si>
    <t>Moderate Power BI gap - DAX best practices followed: Basic functionality works but not optimized, some inconsistency, manual processes could use Power BI APIs, limited monitoring, missing advanced features. Improve: standardize, document, enhance Admin Portal monitoring. Reference: Power BI optimization guides.</t>
  </si>
  <si>
    <t>Enhance dax quality with Admin Portal monitoring</t>
  </si>
  <si>
    <t>Power BI DAX best practices followed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</si>
  <si>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ux &amp; visuals guidelines and configure Power BI settings</t>
  </si>
  <si>
    <t>Significant Power BI gap - Visuals optimized and purposeful: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</si>
  <si>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ux &amp; visuals approach with templates and monitoring</t>
  </si>
  <si>
    <t>Moderate Power BI gap - Visuals optimized and purposeful: Basic functionality works but not optimized, some inconsistency, manual processes could use Power BI APIs, limited monitoring, missing advanced features. Improve: standardize, document, enhance Admin Portal monitoring. Reference: Power BI optimization guides.</t>
  </si>
  <si>
    <t>Enhance ux &amp; visuals with Admin Portal monitoring</t>
  </si>
  <si>
    <t>Power BI Visuals optimized and purposeful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</si>
  <si>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query performance guidelines and configure Power BI settings</t>
  </si>
  <si>
    <t>Significant Power BI gap - Query folding preserved: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</si>
  <si>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query performance approach with templates and monitoring</t>
  </si>
  <si>
    <t>Moderate Power BI gap - Query folding preserved: Basic functionality works but not optimized, some inconsistency, manual processes could use Power BI APIs, limited monitoring, missing advanced features. Improve: standardize, document, enhance Admin Portal monitoring. Reference: Power BI optimization guides.</t>
  </si>
  <si>
    <t>Enhance query performance with Admin Portal monitoring</t>
  </si>
  <si>
    <t>Power BI Query folding preserved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</si>
  <si>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storage mode guidelines and configure Power BI settings</t>
  </si>
  <si>
    <t>Significant Power BI gap - Storage mode appropriate: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</si>
  <si>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storage mode approach with templates and monitoring</t>
  </si>
  <si>
    <t>Moderate Power BI gap - Storage mode appropriate: Basic functionality works but not optimized, some inconsistency, manual processes could use Power BI APIs, limited monitoring, missing advanced features. Improve: standardize, document, enhance Admin Portal monitoring. Reference: Power BI optimization guides.</t>
  </si>
  <si>
    <t>Enhance storage mode with Admin Portal monitoring</t>
  </si>
  <si>
    <t>Power BI Storage mode appropriate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</si>
  <si>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access management framework immediately using Power BI best practices</t>
  </si>
  <si>
    <t>Critical gap in Power BI Access Management - Least privilege access applied: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</si>
  <si>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access management guidelines and configure Power BI settings</t>
  </si>
  <si>
    <t>Significant Power BI gap - Least privilege access applied: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</si>
  <si>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access management approach with templates and monitoring</t>
  </si>
  <si>
    <t>Moderate Power BI gap - Least privilege access applied: Basic functionality works but not optimized, some inconsistency, manual processes could use Power BI APIs, limited monitoring, missing advanced features. Improve: standardize, document, enhance Admin Portal monitoring. Reference: Power BI optimization guides.</t>
  </si>
  <si>
    <t>Enhance access management with Admin Portal monitoring</t>
  </si>
  <si>
    <t>Power BI Least privilege access applied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</si>
  <si>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row-level security framework immediately using Power BI best practices</t>
  </si>
  <si>
    <t>Critical gap in Power BI Row-Level Security - RLS implemented and tested: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</si>
  <si>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row-level security guidelines and configure Power BI settings</t>
  </si>
  <si>
    <t>Significant Power BI gap - RLS implemented and tested: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</si>
  <si>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row-level security approach with templates and monitoring</t>
  </si>
  <si>
    <t>Moderate Power BI gap - RLS implemented and tested: Basic functionality works but not optimized, some inconsistency, manual processes could use Power BI APIs, limited monitoring, missing advanced features. Improve: standardize, document, enhance Admin Portal monitoring. Reference: Power BI optimization guides.</t>
  </si>
  <si>
    <t>Enhance row-level security with Admin Portal monitoring</t>
  </si>
  <si>
    <t>Power BI RLS implemented and tested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</si>
  <si>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admin rights guidelines and configure Power BI settings</t>
  </si>
  <si>
    <t>Significant Power BI gap - Admin access limited: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</si>
  <si>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admin rights approach with templates and monitoring</t>
  </si>
  <si>
    <t>Moderate Power BI gap - Admin access limited: Basic functionality works but not optimized, some inconsistency, manual processes could use Power BI APIs, limited monitoring, missing advanced features. Improve: standardize, document, enhance Admin Portal monitoring. Reference: Power BI optimization guides.</t>
  </si>
  <si>
    <t>Enhance admin rights with Admin Portal monitoring</t>
  </si>
  <si>
    <t>Power BI Admin access limited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</si>
  <si>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external sharing guidelines and configure Power BI settings</t>
  </si>
  <si>
    <t>Significant Power BI gap - External sharing controlled: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</si>
  <si>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external sharing approach with templates and monitoring</t>
  </si>
  <si>
    <t>Moderate Power BI gap - External sharing controlled: Basic functionality works but not optimized, some inconsistency, manual processes could use Power BI APIs, limited monitoring, missing advanced features. Improve: standardize, document, enhance Admin Portal monitoring. Reference: Power BI optimization guides.</t>
  </si>
  <si>
    <t>Enhance external sharing with Admin Portal monitoring</t>
  </si>
  <si>
    <t>Power BI External sharing controlled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</si>
  <si>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Standardize data classification approach with templates and monitoring</t>
  </si>
  <si>
    <t>Moderate Power BI gap - Sensitivity labels applied: Basic functionality works but not optimized, some inconsistency, manual processes could use Power BI APIs, limited monitoring, missing advanced features. Improve: standardize, document, enhance Admin Portal monitoring. Reference: Power BI optimization guides.</t>
  </si>
  <si>
    <t>Enhance data classification with Admin Portal monitoring</t>
  </si>
  <si>
    <t>Power BI Sensitivity labels applied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</si>
  <si>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standards framework immediately using Power BI best practices</t>
  </si>
  <si>
    <t>Critical gap in Power BI Standards - Development standards documented: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</si>
  <si>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standards guidelines and configure Power BI settings</t>
  </si>
  <si>
    <t>Significant Power BI gap - Development standards documented: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</si>
  <si>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standards approach with templates and monitoring</t>
  </si>
  <si>
    <t>Moderate Power BI gap - Development standards documented: Basic functionality works but not optimized, some inconsistency, manual processes could use Power BI APIs, limited monitoring, missing advanced features. Improve: standardize, document, enhance Admin Portal monitoring. Reference: Power BI optimization guides.</t>
  </si>
  <si>
    <t>Enhance standards with Admin Portal monitoring</t>
  </si>
  <si>
    <t>Power BI Development standards documented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</si>
  <si>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version control guidelines and configure Power BI settings</t>
  </si>
  <si>
    <t>Significant Power BI gap - Version control strategy exists: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</si>
  <si>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version control approach with templates and monitoring</t>
  </si>
  <si>
    <t>Moderate Power BI gap - Version control strategy exists: Basic functionality works but not optimized, some inconsistency, manual processes could use Power BI APIs, limited monitoring, missing advanced features. Improve: standardize, document, enhance Admin Portal monitoring. Reference: Power BI optimization guides.</t>
  </si>
  <si>
    <t>Enhance version control with Admin Portal monitoring</t>
  </si>
  <si>
    <t>Power BI Version control strategy exists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</si>
  <si>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deployment framework immediately using Power BI best practices</t>
  </si>
  <si>
    <t>Critical gap in Power BI Deployment - Deployment process defined: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</si>
  <si>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deployment guidelines and configure Power BI settings</t>
  </si>
  <si>
    <t>Significant Power BI gap - Deployment process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</si>
  <si>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deployment approach with templates and monitoring</t>
  </si>
  <si>
    <t>Moderate Power BI gap - Deployment process defined: Basic functionality works but not optimized, some inconsistency, manual processes could use Power BI APIs, limited monitoring, missing advanced features. Improve: standardize, document, enhance Admin Portal monitoring. Reference: Power BI optimization guides.</t>
  </si>
  <si>
    <t>Enhance deployment with Admin Portal monitoring</t>
  </si>
  <si>
    <t>Power BI Deployment process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</si>
  <si>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change management guidelines and configure Power BI settings</t>
  </si>
  <si>
    <t>Significant Power BI gap - Changes are communicated: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</si>
  <si>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change management approach with templates and monitoring</t>
  </si>
  <si>
    <t>Moderate Power BI gap - Changes are communicated: Basic functionality works but not optimized, some inconsistency, manual processes could use Power BI APIs, limited monitoring, missing advanced features. Improve: standardize, document, enhance Admin Portal monitoring. Reference: Power BI optimization guides.</t>
  </si>
  <si>
    <t>Enhance change management with Admin Portal monitoring</t>
  </si>
  <si>
    <t>Power BI Changes are communicated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</si>
  <si>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Standardize quality control approach with templates and monitoring</t>
  </si>
  <si>
    <t>Moderate Power BI gap - Peer review process exists: Basic functionality works but not optimized, some inconsistency, manual processes could use Power BI APIs, limited monitoring, missing advanced features. Improve: standardize, document, enhance Admin Portal monitoring. Reference: Power BI optimization guides.</t>
  </si>
  <si>
    <t>Enhance quality control with Admin Portal monitoring</t>
  </si>
  <si>
    <t>Power BI Peer review process exists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</si>
  <si>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ownership framework immediately using Power BI best practices</t>
  </si>
  <si>
    <t>Critical gap in Power BI Ownership - Dataset ownership clearly defined: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</si>
  <si>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Significant Power BI gap - Dataset ownership clearly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</si>
  <si>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Moderate Power BI gap - Dataset ownership clearly defined: Basic functionality works but not optimized, some inconsistency, manual processes could use Power BI APIs, limited monitoring, missing advanced features. Improve: standardize, document, enhance Admin Portal monitoring. Reference: Power BI optimization guides.</t>
  </si>
  <si>
    <t>Power BI Dataset ownership clearly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</si>
  <si>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monitoring framework immediately using Power BI best practices</t>
  </si>
  <si>
    <t>Critical gap in Power BI Monitoring - Usage and refresh monitored: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</si>
  <si>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monitoring guidelines and configure Power BI settings</t>
  </si>
  <si>
    <t>Significant Power BI gap - Usage and refresh monitored: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</si>
  <si>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monitoring approach with templates and monitoring</t>
  </si>
  <si>
    <t>Moderate Power BI gap - Usage and refresh monitored: Basic functionality works but not optimized, some inconsistency, manual processes could use Power BI APIs, limited monitoring, missing advanced features. Improve: standardize, document, enhance Admin Portal monitoring. Reference: Power BI optimization guides.</t>
  </si>
  <si>
    <t>Enhance monitoring with Admin Portal monitoring</t>
  </si>
  <si>
    <t>Power BI Usage and refresh monitored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</si>
  <si>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lifecycle management guidelines and configure Power BI settings</t>
  </si>
  <si>
    <t>Significant Power BI gap - Obsolete reports retired: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</si>
  <si>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lifecycle management approach with templates and monitoring</t>
  </si>
  <si>
    <t>Moderate Power BI gap - Obsolete reports retired: Basic functionality works but not optimized, some inconsistency, manual processes could use Power BI APIs, limited monitoring, missing advanced features. Improve: standardize, document, enhance Admin Portal monitoring. Reference: Power BI optimization guides.</t>
  </si>
  <si>
    <t>Enhance lifecycle management with Admin Portal monitoring</t>
  </si>
  <si>
    <t>Power BI Obsolete reports retired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</si>
  <si>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incident management guidelines and configure Power BI settings</t>
  </si>
  <si>
    <t>Significant Power BI gap - Incident response process exists: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</si>
  <si>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incident management approach with templates and monitoring</t>
  </si>
  <si>
    <t>Moderate Power BI gap - Incident response process exists: Basic functionality works but not optimized, some inconsistency, manual processes could use Power BI APIs, limited monitoring, missing advanced features. Improve: standardize, document, enhance Admin Portal monitoring. Reference: Power BI optimization guides.</t>
  </si>
  <si>
    <t>Enhance incident management with Admin Portal monitoring</t>
  </si>
  <si>
    <t>Power BI Incident response process exists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</si>
  <si>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Standardize licensing approach with templates and monitoring</t>
  </si>
  <si>
    <t>Moderate Power BI gap - Licensing strategy understood: Basic functionality works but not optimized, some inconsistency, manual processes could use Power BI APIs, limited monitoring, missing advanced features. Improve: standardize, document, enhance Admin Portal monitoring. Reference: Power BI optimization guides.</t>
  </si>
  <si>
    <t>Enhance licensing with Admin Portal monitoring</t>
  </si>
  <si>
    <t>Power BI Licensing strategy understood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</si>
  <si>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training guidelines and configure Power BI settings</t>
  </si>
  <si>
    <t>Significant Power BI gap - Users receive Power BI training: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</si>
  <si>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training approach with templates and monitoring</t>
  </si>
  <si>
    <t>Moderate Power BI gap - Users receive Power BI training: Basic functionality works but not optimized, some inconsistency, manual processes could use Power BI APIs, limited monitoring, missing advanced features. Improve: standardize, document, enhance Admin Portal monitoring. Reference: Power BI optimization guides.</t>
  </si>
  <si>
    <t>Enhance training with Admin Portal monitoring</t>
  </si>
  <si>
    <t>Power BI Users receive Power BI training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</si>
  <si>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Standardize documentation approach with templates and monitoring</t>
  </si>
  <si>
    <t>Moderate Power BI gap - Documentation accessible: Basic functionality works but not optimized, some inconsistency, manual processes could use Power BI APIs, limited monitoring, missing advanced features. Improve: standardize, document, enhance Admin Portal monitoring. Reference: Power BI optimization guides.</t>
  </si>
  <si>
    <t>Enhance documentation with Admin Portal monitoring</t>
  </si>
  <si>
    <t>Power BI Documentation accessible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</si>
  <si>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support guidelines and configure Power BI settings</t>
  </si>
  <si>
    <t>Significant Power BI gap - Clear support channels exist: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</si>
  <si>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support approach with templates and monitoring</t>
  </si>
  <si>
    <t>Moderate Power BI gap - Clear support channels exist: Basic functionality works but not optimized, some inconsistency, manual processes could use Power BI APIs, limited monitoring, missing advanced features. Improve: standardize, document, enhance Admin Portal monitoring. Reference: Power BI optimization guides.</t>
  </si>
  <si>
    <t>Enhance support with Admin Portal monitoring</t>
  </si>
  <si>
    <t>Power BI Clear support channels exist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</si>
  <si>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Standardize feedback approach with templates and monitoring</t>
  </si>
  <si>
    <t>Moderate Power BI gap - User feedback collected: Basic functionality works but not optimized, some inconsistency, manual processes could use Power BI APIs, limited monitoring, missing advanced features. Improve: standardize, document, enhance Admin Portal monitoring. Reference: Power BI optimization guides.</t>
  </si>
  <si>
    <t>Enhance feedback with Admin Portal monitoring</t>
  </si>
  <si>
    <t>Power BI User feedback collected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</si>
  <si>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adoption metrics guidelines and configure Power BI settings</t>
  </si>
  <si>
    <t>Significant Power BI gap - Adoption metrics tracked: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</si>
  <si>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adoption metrics approach with templates and monitoring</t>
  </si>
  <si>
    <t>Moderate Power BI gap - Adoption metrics tracked: Basic functionality works but not optimized, some inconsistency, manual processes could use Power BI APIs, limited monitoring, missing advanced features. Improve: standardize, document, enhance Admin Portal monitoring. Reference: Power BI optimization guides.</t>
  </si>
  <si>
    <t>Enhance adoption metrics with Admin Portal monitoring</t>
  </si>
  <si>
    <t>Power BI Adoption metrics tracked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</si>
  <si>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strategy framework immediately using Power BI best practices</t>
  </si>
  <si>
    <t>Critical gap in Power BI Strategy - Power BI CoE strategy defined: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</si>
  <si>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strategy guidelines and configure Power BI settings</t>
  </si>
  <si>
    <t>Significant Power BI gap - Power BI CoE strategy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</si>
  <si>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strategy approach with templates and monitoring</t>
  </si>
  <si>
    <t>Moderate Power BI gap - Power BI CoE strategy defined: Basic functionality works but not optimized, some inconsistency, manual processes could use Power BI APIs, limited monitoring, missing advanced features. Improve: standardize, document, enhance Admin Portal monitoring. Reference: Power BI optimization guides.</t>
  </si>
  <si>
    <t>Enhance strategy with Admin Portal monitoring</t>
  </si>
  <si>
    <t>Power BI Power BI CoE strategy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</si>
  <si>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roles framework immediately using Power BI best practices</t>
  </si>
  <si>
    <t>Critical gap in Power BI Roles - CoE roles and responsibilities defined: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</si>
  <si>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roles guidelines and configure Power BI settings</t>
  </si>
  <si>
    <t>Significant Power BI gap - CoE roles and responsibilities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</si>
  <si>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roles approach with templates and monitoring</t>
  </si>
  <si>
    <t>Moderate Power BI gap - CoE roles and responsibilities defined: Basic functionality works but not optimized, some inconsistency, manual processes could use Power BI APIs, limited monitoring, missing advanced features. Improve: standardize, document, enhance Admin Portal monitoring. Reference: Power BI optimization guides.</t>
  </si>
  <si>
    <t>Enhance roles with Admin Portal monitoring</t>
  </si>
  <si>
    <t>Power BI CoE roles and responsibilities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</si>
  <si>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Establish formal operating model framework immediately using Power BI best practices</t>
  </si>
  <si>
    <t>Critical gap in Power BI Operating Model - CoE operating model defined: Visible in Admin Portal metrics, prevents using key features (deployment pipelines, shared datasets, RLS), causes governance gaps and audit findings, poor user experience shown in usage metrics. Requires: Admin Portal assessment, documentation, framework implementation, team training, monitoring setup. Reference: Power BI governance frameworks.</t>
  </si>
  <si>
    <t>Develop operating model guidelines and configure Power BI settings</t>
  </si>
  <si>
    <t>Significant Power BI gap - CoE operating model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</si>
  <si>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operating model approach with templates and monitoring</t>
  </si>
  <si>
    <t>Moderate Power BI gap - CoE operating model defined: Basic functionality works but not optimized, some inconsistency, manual processes could use Power BI APIs, limited monitoring, missing advanced features. Improve: standardize, document, enhance Admin Portal monitoring. Reference: Power BI optimization guides.</t>
  </si>
  <si>
    <t>Enhance operating model with Admin Portal monitoring</t>
  </si>
  <si>
    <t>Power BI CoE operating model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</si>
  <si>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funding guidelines and configure Power BI settings</t>
  </si>
  <si>
    <t>Significant Power BI gap - CoE funding model defined: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</si>
  <si>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funding approach with templates and monitoring</t>
  </si>
  <si>
    <t>Moderate Power BI gap - CoE funding model defined: Basic functionality works but not optimized, some inconsistency, manual processes could use Power BI APIs, limited monitoring, missing advanced features. Improve: standardize, document, enhance Admin Portal monitoring. Reference: Power BI optimization guides.</t>
  </si>
  <si>
    <t>Enhance funding with Admin Portal monitoring</t>
  </si>
  <si>
    <t>Power BI CoE funding model defined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</si>
  <si>
    <t>Develop maturity tracking guidelines and configure Power BI settings</t>
  </si>
  <si>
    <t>Significant Power BI gap - Maturity tracked over time: Reduces efficiency, inconsistent across workspaces/datasets, growing technical debt, suboptimal Premium capacity usage (check Admin Portal &gt; Capacity metrics), scaling difficulties. Address: document standards, create templates, train team, implement monitoring. Reference: Power BI best practices.</t>
  </si>
  <si>
    <t>Standardize maturity tracking approach with templates and monitoring</t>
  </si>
  <si>
    <t>Moderate Power BI gap - Maturity tracked over time: Basic functionality works but not optimized, some inconsistency, manual processes could use Power BI APIs, limited monitoring, missing advanced features. Improve: standardize, document, enhance Admin Portal monitoring. Reference: Power BI optimization guides.</t>
  </si>
  <si>
    <t>Enhance maturity tracking with Admin Portal monitoring</t>
  </si>
  <si>
    <t>Power BI Maturity tracked over time acceptable with optimization opportunities: Could benefit from automation via REST API/PowerShell, better documentation, comprehensive Admin Portal monitoring, advanced features exploration (composite models, aggregations, calculation groups, incremental refresh). Reference: Power BI advanced features.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</si>
</sst>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0"/>
      <name val="Aptos Narrow"/>
      <family val="2"/>
      <scheme val="minor"/>
    </font>
    <font>
      <b/>
      <sz val="11"/>
      <name val="Cambria"/>
      <charset val="1"/>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9E1F2"/>
        <bgColor rgb="FFCCFFFF"/>
      </patternFill>
    </fill>
  </fills>
  <borders count="4">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3" borderId="1" xfId="0" applyFill="1" applyBorder="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0" fillId="0" borderId="0" xfId="0" applyAlignment="1">
      <alignment vertical="top" wrapText="1"/>
    </xf>
  </cellXfs>
  <cellStyles count="1">
    <cellStyle name="Normal" xfId="0" builtinId="0"/>
  </cellStyles>
  <dxfs count="1">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33328F9-DBAA-42CB-80EA-998F9356B1B4}" name="Table5" displayName="Table5" ref="A1:N251" totalsRowShown="0">
  <autoFilter ref="A1:N251" xr:uid="{633328F9-DBAA-42CB-80EA-998F9356B1B4}"/>
  <tableColumns count="14">
    <tableColumn id="1" xr3:uid="{071AFD62-E97A-46BC-AF81-5DFB92144171}" name="CategoryID"/>
    <tableColumn id="2" xr3:uid="{F449B5DA-6E54-4DAB-9E01-FC88D45749DF}" name="Category"/>
    <tableColumn id="3" xr3:uid="{004E9FB2-B01D-442A-985B-BA2A2C58A9CC}" name="SubcategoryID"/>
    <tableColumn id="4" xr3:uid="{1059C341-E034-457B-B7FC-112FACAE30D3}" name="Subcategory"/>
    <tableColumn id="5" xr3:uid="{09609A34-E70A-45C6-BF26-65E15A79EEC4}" name="Pillar"/>
    <tableColumn id="6" xr3:uid="{69F1E2B7-4722-443C-BDB1-7B358AF5E861}" name="QuestionID"/>
    <tableColumn id="7" xr3:uid="{74ECD5C6-7A12-45FA-AF8C-654F507EB538}" name="Question"/>
    <tableColumn id="8" xr3:uid="{79359C05-50BE-4A53-86A3-DCB679E1596E}" name="Weight"/>
    <tableColumn id="9" xr3:uid="{DC321266-0569-40D7-9C46-E3F8E0B39F2E}" name="Why"/>
    <tableColumn id="10" xr3:uid="{9718460E-0EDA-42EE-A722-67DC26EE0B54}" name="Score"/>
    <tableColumn id="11" xr3:uid="{ABB0F2F4-11B9-40D0-8D9E-EA334D2E2E6E}" name="VerbalScoreID"/>
    <tableColumn id="12" xr3:uid="{56419D25-BCF7-43B3-8BFE-75DFCB487CF5}" name="VerbalScore"/>
    <tableColumn id="13" xr3:uid="{8076B851-E54C-4FE3-9284-42194D202314}" name="Risk Score" dataDxfId="0">
      <calculatedColumnFormula>(5-$J2)*H2</calculatedColumnFormula>
    </tableColumn>
    <tableColumn id="14" xr3:uid="{B469B5F9-0BEB-4E71-AF48-3F69E8BD221B}" name="Priority">
      <calculatedColumnFormula array="1">_xlfn.SWITCH(M2,12,"Fix now",11,"Fix now",10,"Fix now",9,"Fix now",8,"Plan",7,"Plan",6,"Plan",5,"Plan",4,"Accept",3,"Accept",2,"Accept",1,"Accept",0,"Accept")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A3D0E-31EC-440A-A0FE-216444E746F8}">
  <dimension ref="A1:R251"/>
  <sheetViews>
    <sheetView tabSelected="1" topLeftCell="Q248" workbookViewId="0">
      <selection activeCell="Q251" sqref="Q251"/>
    </sheetView>
  </sheetViews>
  <sheetFormatPr defaultRowHeight="14.4" x14ac:dyDescent="0.3"/>
  <cols>
    <col min="1" max="1" width="12" customWidth="1"/>
    <col min="2" max="2" width="32.21875" bestFit="1" customWidth="1"/>
    <col min="3" max="3" width="15" customWidth="1"/>
    <col min="4" max="4" width="19.109375" bestFit="1" customWidth="1"/>
    <col min="6" max="6" width="12.109375" customWidth="1"/>
    <col min="7" max="7" width="10.33203125" customWidth="1"/>
    <col min="9" max="9" width="51.77734375" bestFit="1" customWidth="1"/>
    <col min="11" max="11" width="14.88671875" customWidth="1"/>
    <col min="12" max="12" width="52.44140625" bestFit="1" customWidth="1"/>
    <col min="13" max="13" width="11.5546875" customWidth="1"/>
    <col min="14" max="14" width="9" customWidth="1"/>
    <col min="15" max="16" width="120" customWidth="1"/>
    <col min="17" max="17" width="35" customWidth="1"/>
    <col min="18" max="18" width="120" customWidth="1"/>
  </cols>
  <sheetData>
    <row r="1" spans="1:18" x14ac:dyDescent="0.3">
      <c r="A1" t="s">
        <v>87</v>
      </c>
      <c r="B1" t="s">
        <v>88</v>
      </c>
      <c r="C1" t="s">
        <v>89</v>
      </c>
      <c r="D1" t="s">
        <v>90</v>
      </c>
      <c r="E1" t="s">
        <v>91</v>
      </c>
      <c r="F1" t="s">
        <v>92</v>
      </c>
      <c r="G1" t="s">
        <v>0</v>
      </c>
      <c r="H1" t="s">
        <v>1</v>
      </c>
      <c r="I1" t="s">
        <v>2</v>
      </c>
      <c r="J1" t="s">
        <v>8</v>
      </c>
      <c r="K1" t="s">
        <v>93</v>
      </c>
      <c r="L1" t="s">
        <v>11</v>
      </c>
      <c r="M1" s="2" t="s">
        <v>9</v>
      </c>
      <c r="N1" s="3" t="s">
        <v>10</v>
      </c>
      <c r="O1" s="4" t="s">
        <v>784</v>
      </c>
      <c r="P1" s="4" t="s">
        <v>785</v>
      </c>
      <c r="Q1" s="4" t="s">
        <v>786</v>
      </c>
      <c r="R1" s="4" t="s">
        <v>787</v>
      </c>
    </row>
    <row r="2" spans="1:18" ht="57.6" x14ac:dyDescent="0.3">
      <c r="A2" t="s">
        <v>94</v>
      </c>
      <c r="B2" t="s">
        <v>95</v>
      </c>
      <c r="C2" t="s">
        <v>96</v>
      </c>
      <c r="D2" t="s">
        <v>97</v>
      </c>
      <c r="E2" t="s">
        <v>98</v>
      </c>
      <c r="F2" t="s">
        <v>3</v>
      </c>
      <c r="G2" t="s">
        <v>12</v>
      </c>
      <c r="H2">
        <v>3</v>
      </c>
      <c r="I2" t="s">
        <v>13</v>
      </c>
      <c r="J2">
        <v>1</v>
      </c>
      <c r="K2" t="s">
        <v>99</v>
      </c>
      <c r="L2" t="s">
        <v>14</v>
      </c>
      <c r="M2" s="1">
        <f>(5-$J2)*H2</f>
        <v>12</v>
      </c>
      <c r="N2" t="str" cm="1">
        <f t="array" ref="N2">_xlfn.SWITCH(M2,12,"Fix now",11,"Fix now",10,"Fix now",9,"Fix now",8,"Plan",7,"Plan",6,"Plan",5,"Plan",4,"Accept",3,"Accept",2,"Accept",1,"Accept",0,"Accept")</f>
        <v>Fix now</v>
      </c>
      <c r="O2" s="5" t="s">
        <v>788</v>
      </c>
      <c r="P2" s="5" t="s">
        <v>789</v>
      </c>
      <c r="Q2" t="s">
        <v>790</v>
      </c>
      <c r="R2" s="5" t="s">
        <v>791</v>
      </c>
    </row>
    <row r="3" spans="1:18" ht="43.2" x14ac:dyDescent="0.3">
      <c r="A3" t="s">
        <v>94</v>
      </c>
      <c r="B3" t="s">
        <v>95</v>
      </c>
      <c r="C3" t="s">
        <v>96</v>
      </c>
      <c r="D3" t="s">
        <v>97</v>
      </c>
      <c r="E3" t="s">
        <v>98</v>
      </c>
      <c r="F3" t="s">
        <v>3</v>
      </c>
      <c r="G3" t="s">
        <v>12</v>
      </c>
      <c r="H3">
        <v>3</v>
      </c>
      <c r="I3" t="s">
        <v>13</v>
      </c>
      <c r="J3">
        <v>2</v>
      </c>
      <c r="K3" t="s">
        <v>100</v>
      </c>
      <c r="L3" t="s">
        <v>15</v>
      </c>
      <c r="M3" s="1">
        <f t="shared" ref="M3:M66" si="0">(5-$J3)*H3</f>
        <v>9</v>
      </c>
      <c r="N3" t="str" cm="1">
        <f t="array" ref="N3">_xlfn.SWITCH(M3,12,"Fix now",11,"Fix now",10,"Fix now",9,"Fix now",8,"Plan",7,"Plan",6,"Plan",5,"Plan",4,"Accept",3,"Accept",2,"Accept",1,"Accept",0,"Accept")</f>
        <v>Fix now</v>
      </c>
      <c r="O3" s="5" t="s">
        <v>792</v>
      </c>
      <c r="P3" s="5" t="s">
        <v>793</v>
      </c>
      <c r="Q3" t="s">
        <v>794</v>
      </c>
      <c r="R3" s="5" t="s">
        <v>795</v>
      </c>
    </row>
    <row r="4" spans="1:18" ht="43.2" x14ac:dyDescent="0.3">
      <c r="A4" t="s">
        <v>94</v>
      </c>
      <c r="B4" t="s">
        <v>95</v>
      </c>
      <c r="C4" t="s">
        <v>96</v>
      </c>
      <c r="D4" t="s">
        <v>97</v>
      </c>
      <c r="E4" t="s">
        <v>98</v>
      </c>
      <c r="F4" t="s">
        <v>3</v>
      </c>
      <c r="G4" t="s">
        <v>12</v>
      </c>
      <c r="H4">
        <v>3</v>
      </c>
      <c r="I4" t="s">
        <v>13</v>
      </c>
      <c r="J4">
        <v>3</v>
      </c>
      <c r="K4" t="s">
        <v>101</v>
      </c>
      <c r="L4" t="s">
        <v>16</v>
      </c>
      <c r="M4" s="1">
        <f t="shared" si="0"/>
        <v>6</v>
      </c>
      <c r="N4" t="str" cm="1">
        <f t="array" ref="N4">_xlfn.SWITCH(M4,12,"Fix now",11,"Fix now",10,"Fix now",9,"Fix now",8,"Plan",7,"Plan",6,"Plan",5,"Plan",4,"Accept",3,"Accept",2,"Accept",1,"Accept",0,"Accept")</f>
        <v>Plan</v>
      </c>
      <c r="O4" s="5" t="s">
        <v>796</v>
      </c>
      <c r="P4" s="5" t="s">
        <v>797</v>
      </c>
      <c r="Q4" t="s">
        <v>798</v>
      </c>
      <c r="R4" s="5" t="s">
        <v>799</v>
      </c>
    </row>
    <row r="5" spans="1:18" ht="28.8" x14ac:dyDescent="0.3">
      <c r="A5" t="s">
        <v>94</v>
      </c>
      <c r="B5" t="s">
        <v>95</v>
      </c>
      <c r="C5" t="s">
        <v>96</v>
      </c>
      <c r="D5" t="s">
        <v>97</v>
      </c>
      <c r="E5" t="s">
        <v>98</v>
      </c>
      <c r="F5" t="s">
        <v>3</v>
      </c>
      <c r="G5" t="s">
        <v>12</v>
      </c>
      <c r="H5">
        <v>3</v>
      </c>
      <c r="I5" t="s">
        <v>13</v>
      </c>
      <c r="J5">
        <v>4</v>
      </c>
      <c r="K5" t="s">
        <v>102</v>
      </c>
      <c r="L5" t="s">
        <v>17</v>
      </c>
      <c r="M5" s="1">
        <f t="shared" si="0"/>
        <v>3</v>
      </c>
      <c r="N5" t="str" cm="1">
        <f t="array" ref="N5">_xlfn.SWITCH(M5,12,"Fix now",11,"Fix now",10,"Fix now",9,"Fix now",8,"Plan",7,"Plan",6,"Plan",5,"Plan",4,"Accept",3,"Accept",2,"Accept",1,"Accept",0,"Accept")</f>
        <v>Accept</v>
      </c>
      <c r="O5" s="5" t="s">
        <v>800</v>
      </c>
      <c r="P5" s="5" t="s">
        <v>801</v>
      </c>
      <c r="Q5" t="s">
        <v>802</v>
      </c>
      <c r="R5" s="5" t="s">
        <v>803</v>
      </c>
    </row>
    <row r="6" spans="1:18" ht="28.8" x14ac:dyDescent="0.3">
      <c r="A6" t="s">
        <v>94</v>
      </c>
      <c r="B6" t="s">
        <v>95</v>
      </c>
      <c r="C6" t="s">
        <v>96</v>
      </c>
      <c r="D6" t="s">
        <v>97</v>
      </c>
      <c r="E6" t="s">
        <v>98</v>
      </c>
      <c r="F6" t="s">
        <v>3</v>
      </c>
      <c r="G6" t="s">
        <v>12</v>
      </c>
      <c r="H6">
        <v>3</v>
      </c>
      <c r="I6" t="s">
        <v>13</v>
      </c>
      <c r="J6">
        <v>5</v>
      </c>
      <c r="K6" t="s">
        <v>103</v>
      </c>
      <c r="L6" t="s">
        <v>18</v>
      </c>
      <c r="M6" s="1">
        <f t="shared" si="0"/>
        <v>0</v>
      </c>
      <c r="N6" t="str" cm="1">
        <f t="array" ref="N6">_xlfn.SWITCH(M6,12,"Fix now",11,"Fix now",10,"Fix now",9,"Fix now",8,"Plan",7,"Plan",6,"Plan",5,"Plan",4,"Accept",3,"Accept",2,"Accept",1,"Accept",0,"Accept")</f>
        <v>Accept</v>
      </c>
      <c r="O6" s="5" t="s">
        <v>788</v>
      </c>
      <c r="P6" s="5" t="s">
        <v>801</v>
      </c>
      <c r="Q6" t="s">
        <v>802</v>
      </c>
      <c r="R6" s="5" t="s">
        <v>804</v>
      </c>
    </row>
    <row r="7" spans="1:18" ht="43.2" x14ac:dyDescent="0.3">
      <c r="A7" t="s">
        <v>94</v>
      </c>
      <c r="B7" t="s">
        <v>95</v>
      </c>
      <c r="C7" t="s">
        <v>104</v>
      </c>
      <c r="D7" t="s">
        <v>105</v>
      </c>
      <c r="E7" t="s">
        <v>98</v>
      </c>
      <c r="F7" t="s">
        <v>4</v>
      </c>
      <c r="G7" t="s">
        <v>19</v>
      </c>
      <c r="H7">
        <v>2</v>
      </c>
      <c r="I7" t="s">
        <v>20</v>
      </c>
      <c r="J7">
        <v>1</v>
      </c>
      <c r="K7" t="s">
        <v>106</v>
      </c>
      <c r="L7" t="s">
        <v>21</v>
      </c>
      <c r="M7" s="1">
        <f t="shared" si="0"/>
        <v>8</v>
      </c>
      <c r="N7" t="str" cm="1">
        <f t="array" ref="N7">_xlfn.SWITCH(M7,12,"Fix now",11,"Fix now",10,"Fix now",9,"Fix now",8,"Plan",7,"Plan",6,"Plan",5,"Plan",4,"Accept",3,"Accept",2,"Accept",1,"Accept",0,"Accept")</f>
        <v>Plan</v>
      </c>
      <c r="O7" s="5" t="s">
        <v>788</v>
      </c>
      <c r="P7" s="5" t="s">
        <v>805</v>
      </c>
      <c r="Q7" t="s">
        <v>794</v>
      </c>
      <c r="R7" s="5" t="s">
        <v>806</v>
      </c>
    </row>
    <row r="8" spans="1:18" ht="43.2" x14ac:dyDescent="0.3">
      <c r="A8" t="s">
        <v>94</v>
      </c>
      <c r="B8" t="s">
        <v>95</v>
      </c>
      <c r="C8" t="s">
        <v>104</v>
      </c>
      <c r="D8" t="s">
        <v>105</v>
      </c>
      <c r="E8" t="s">
        <v>98</v>
      </c>
      <c r="F8" t="s">
        <v>4</v>
      </c>
      <c r="G8" t="s">
        <v>19</v>
      </c>
      <c r="H8">
        <v>2</v>
      </c>
      <c r="I8" t="s">
        <v>20</v>
      </c>
      <c r="J8">
        <v>2</v>
      </c>
      <c r="K8" t="s">
        <v>107</v>
      </c>
      <c r="L8" t="s">
        <v>22</v>
      </c>
      <c r="M8" s="1">
        <f t="shared" si="0"/>
        <v>6</v>
      </c>
      <c r="N8" t="str" cm="1">
        <f t="array" ref="N8">_xlfn.SWITCH(M8,12,"Fix now",11,"Fix now",10,"Fix now",9,"Fix now",8,"Plan",7,"Plan",6,"Plan",5,"Plan",4,"Accept",3,"Accept",2,"Accept",1,"Accept",0,"Accept")</f>
        <v>Plan</v>
      </c>
      <c r="O8" s="5" t="s">
        <v>807</v>
      </c>
      <c r="P8" s="5" t="s">
        <v>808</v>
      </c>
      <c r="Q8" t="s">
        <v>798</v>
      </c>
      <c r="R8" s="5" t="s">
        <v>809</v>
      </c>
    </row>
    <row r="9" spans="1:18" ht="43.2" x14ac:dyDescent="0.3">
      <c r="A9" t="s">
        <v>94</v>
      </c>
      <c r="B9" t="s">
        <v>95</v>
      </c>
      <c r="C9" t="s">
        <v>104</v>
      </c>
      <c r="D9" t="s">
        <v>105</v>
      </c>
      <c r="E9" t="s">
        <v>98</v>
      </c>
      <c r="F9" t="s">
        <v>4</v>
      </c>
      <c r="G9" t="s">
        <v>19</v>
      </c>
      <c r="H9">
        <v>2</v>
      </c>
      <c r="I9" t="s">
        <v>20</v>
      </c>
      <c r="J9">
        <v>3</v>
      </c>
      <c r="K9" t="s">
        <v>108</v>
      </c>
      <c r="L9" t="s">
        <v>23</v>
      </c>
      <c r="M9" s="1">
        <f t="shared" si="0"/>
        <v>4</v>
      </c>
      <c r="N9" t="str" cm="1">
        <f t="array" ref="N9">_xlfn.SWITCH(M9,12,"Fix now",11,"Fix now",10,"Fix now",9,"Fix now",8,"Plan",7,"Plan",6,"Plan",5,"Plan",4,"Accept",3,"Accept",2,"Accept",1,"Accept",0,"Accept")</f>
        <v>Accept</v>
      </c>
      <c r="O9" s="5" t="s">
        <v>788</v>
      </c>
      <c r="P9" s="5" t="s">
        <v>808</v>
      </c>
      <c r="Q9" t="s">
        <v>798</v>
      </c>
      <c r="R9" s="5" t="s">
        <v>809</v>
      </c>
    </row>
    <row r="10" spans="1:18" ht="43.2" x14ac:dyDescent="0.3">
      <c r="A10" t="s">
        <v>94</v>
      </c>
      <c r="B10" t="s">
        <v>95</v>
      </c>
      <c r="C10" t="s">
        <v>104</v>
      </c>
      <c r="D10" t="s">
        <v>105</v>
      </c>
      <c r="E10" t="s">
        <v>98</v>
      </c>
      <c r="F10" t="s">
        <v>4</v>
      </c>
      <c r="G10" t="s">
        <v>19</v>
      </c>
      <c r="H10">
        <v>2</v>
      </c>
      <c r="I10" t="s">
        <v>20</v>
      </c>
      <c r="J10">
        <v>4</v>
      </c>
      <c r="K10" t="s">
        <v>109</v>
      </c>
      <c r="L10" t="s">
        <v>24</v>
      </c>
      <c r="M10" s="1">
        <f t="shared" si="0"/>
        <v>2</v>
      </c>
      <c r="N10" t="str" cm="1">
        <f t="array" ref="N10">_xlfn.SWITCH(M10,12,"Fix now",11,"Fix now",10,"Fix now",9,"Fix now",8,"Plan",7,"Plan",6,"Plan",5,"Plan",4,"Accept",3,"Accept",2,"Accept",1,"Accept",0,"Accept")</f>
        <v>Accept</v>
      </c>
      <c r="O10" s="5" t="s">
        <v>788</v>
      </c>
      <c r="P10" s="5" t="s">
        <v>810</v>
      </c>
      <c r="Q10" t="s">
        <v>802</v>
      </c>
      <c r="R10" s="5" t="s">
        <v>811</v>
      </c>
    </row>
    <row r="11" spans="1:18" ht="43.2" x14ac:dyDescent="0.3">
      <c r="A11" t="s">
        <v>94</v>
      </c>
      <c r="B11" t="s">
        <v>95</v>
      </c>
      <c r="C11" t="s">
        <v>104</v>
      </c>
      <c r="D11" t="s">
        <v>105</v>
      </c>
      <c r="E11" t="s">
        <v>98</v>
      </c>
      <c r="F11" t="s">
        <v>4</v>
      </c>
      <c r="G11" t="s">
        <v>19</v>
      </c>
      <c r="H11">
        <v>2</v>
      </c>
      <c r="I11" t="s">
        <v>20</v>
      </c>
      <c r="J11">
        <v>5</v>
      </c>
      <c r="K11" t="s">
        <v>110</v>
      </c>
      <c r="L11" t="s">
        <v>25</v>
      </c>
      <c r="M11" s="1">
        <f t="shared" si="0"/>
        <v>0</v>
      </c>
      <c r="N11" t="str" cm="1">
        <f t="array" ref="N11">_xlfn.SWITCH(M11,12,"Fix now",11,"Fix now",10,"Fix now",9,"Fix now",8,"Plan",7,"Plan",6,"Plan",5,"Plan",4,"Accept",3,"Accept",2,"Accept",1,"Accept",0,"Accept")</f>
        <v>Accept</v>
      </c>
      <c r="O11" s="5" t="s">
        <v>788</v>
      </c>
      <c r="P11" s="5" t="s">
        <v>810</v>
      </c>
      <c r="Q11" t="s">
        <v>802</v>
      </c>
      <c r="R11" s="5" t="s">
        <v>811</v>
      </c>
    </row>
    <row r="12" spans="1:18" ht="43.2" x14ac:dyDescent="0.3">
      <c r="A12" t="s">
        <v>94</v>
      </c>
      <c r="B12" t="s">
        <v>95</v>
      </c>
      <c r="C12" t="s">
        <v>111</v>
      </c>
      <c r="D12" t="s">
        <v>112</v>
      </c>
      <c r="E12" t="s">
        <v>98</v>
      </c>
      <c r="F12" t="s">
        <v>5</v>
      </c>
      <c r="G12" t="s">
        <v>26</v>
      </c>
      <c r="H12">
        <v>3</v>
      </c>
      <c r="I12" t="s">
        <v>27</v>
      </c>
      <c r="J12">
        <v>1</v>
      </c>
      <c r="K12" t="s">
        <v>113</v>
      </c>
      <c r="L12" t="s">
        <v>28</v>
      </c>
      <c r="M12" s="1">
        <f t="shared" si="0"/>
        <v>12</v>
      </c>
      <c r="N12" t="str" cm="1">
        <f t="array" ref="N12">_xlfn.SWITCH(M12,12,"Fix now",11,"Fix now",10,"Fix now",9,"Fix now",8,"Plan",7,"Plan",6,"Plan",5,"Plan",4,"Accept",3,"Accept",2,"Accept",1,"Accept",0,"Accept")</f>
        <v>Fix now</v>
      </c>
      <c r="O12" s="5" t="s">
        <v>788</v>
      </c>
      <c r="P12" s="5" t="s">
        <v>812</v>
      </c>
      <c r="Q12" t="s">
        <v>790</v>
      </c>
      <c r="R12" s="5" t="s">
        <v>813</v>
      </c>
    </row>
    <row r="13" spans="1:18" ht="43.2" x14ac:dyDescent="0.3">
      <c r="A13" t="s">
        <v>94</v>
      </c>
      <c r="B13" t="s">
        <v>95</v>
      </c>
      <c r="C13" t="s">
        <v>111</v>
      </c>
      <c r="D13" t="s">
        <v>112</v>
      </c>
      <c r="E13" t="s">
        <v>98</v>
      </c>
      <c r="F13" t="s">
        <v>5</v>
      </c>
      <c r="G13" t="s">
        <v>26</v>
      </c>
      <c r="H13">
        <v>3</v>
      </c>
      <c r="I13" t="s">
        <v>27</v>
      </c>
      <c r="J13">
        <v>2</v>
      </c>
      <c r="K13" t="s">
        <v>114</v>
      </c>
      <c r="L13" t="s">
        <v>29</v>
      </c>
      <c r="M13" s="1">
        <f t="shared" si="0"/>
        <v>9</v>
      </c>
      <c r="N13" t="str" cm="1">
        <f t="array" ref="N13">_xlfn.SWITCH(M13,12,"Fix now",11,"Fix now",10,"Fix now",9,"Fix now",8,"Plan",7,"Plan",6,"Plan",5,"Plan",4,"Accept",3,"Accept",2,"Accept",1,"Accept",0,"Accept")</f>
        <v>Fix now</v>
      </c>
      <c r="O13" s="5" t="s">
        <v>788</v>
      </c>
      <c r="P13" s="5" t="s">
        <v>814</v>
      </c>
      <c r="Q13" t="s">
        <v>794</v>
      </c>
      <c r="R13" s="5" t="s">
        <v>815</v>
      </c>
    </row>
    <row r="14" spans="1:18" ht="43.2" x14ac:dyDescent="0.3">
      <c r="A14" t="s">
        <v>94</v>
      </c>
      <c r="B14" t="s">
        <v>95</v>
      </c>
      <c r="C14" t="s">
        <v>111</v>
      </c>
      <c r="D14" t="s">
        <v>112</v>
      </c>
      <c r="E14" t="s">
        <v>98</v>
      </c>
      <c r="F14" t="s">
        <v>5</v>
      </c>
      <c r="G14" t="s">
        <v>26</v>
      </c>
      <c r="H14">
        <v>3</v>
      </c>
      <c r="I14" t="s">
        <v>27</v>
      </c>
      <c r="J14">
        <v>3</v>
      </c>
      <c r="K14" t="s">
        <v>115</v>
      </c>
      <c r="L14" t="s">
        <v>30</v>
      </c>
      <c r="M14" s="1">
        <f t="shared" si="0"/>
        <v>6</v>
      </c>
      <c r="N14" t="str" cm="1">
        <f t="array" ref="N14">_xlfn.SWITCH(M14,12,"Fix now",11,"Fix now",10,"Fix now",9,"Fix now",8,"Plan",7,"Plan",6,"Plan",5,"Plan",4,"Accept",3,"Accept",2,"Accept",1,"Accept",0,"Accept")</f>
        <v>Plan</v>
      </c>
      <c r="O14" s="5" t="s">
        <v>796</v>
      </c>
      <c r="P14" s="5" t="s">
        <v>816</v>
      </c>
      <c r="Q14" t="s">
        <v>798</v>
      </c>
      <c r="R14" s="5" t="s">
        <v>817</v>
      </c>
    </row>
    <row r="15" spans="1:18" ht="43.2" x14ac:dyDescent="0.3">
      <c r="A15" t="s">
        <v>94</v>
      </c>
      <c r="B15" t="s">
        <v>95</v>
      </c>
      <c r="C15" t="s">
        <v>111</v>
      </c>
      <c r="D15" t="s">
        <v>112</v>
      </c>
      <c r="E15" t="s">
        <v>98</v>
      </c>
      <c r="F15" t="s">
        <v>5</v>
      </c>
      <c r="G15" t="s">
        <v>26</v>
      </c>
      <c r="H15">
        <v>3</v>
      </c>
      <c r="I15" t="s">
        <v>27</v>
      </c>
      <c r="J15">
        <v>4</v>
      </c>
      <c r="K15" t="s">
        <v>116</v>
      </c>
      <c r="L15" t="s">
        <v>31</v>
      </c>
      <c r="M15" s="1">
        <f t="shared" si="0"/>
        <v>3</v>
      </c>
      <c r="N15" t="str" cm="1">
        <f t="array" ref="N15">_xlfn.SWITCH(M15,12,"Fix now",11,"Fix now",10,"Fix now",9,"Fix now",8,"Plan",7,"Plan",6,"Plan",5,"Plan",4,"Accept",3,"Accept",2,"Accept",1,"Accept",0,"Accept")</f>
        <v>Accept</v>
      </c>
      <c r="O15" s="5" t="s">
        <v>788</v>
      </c>
      <c r="P15" s="5" t="s">
        <v>818</v>
      </c>
      <c r="Q15" t="s">
        <v>802</v>
      </c>
      <c r="R15" s="5" t="s">
        <v>819</v>
      </c>
    </row>
    <row r="16" spans="1:18" ht="43.2" x14ac:dyDescent="0.3">
      <c r="A16" t="s">
        <v>94</v>
      </c>
      <c r="B16" t="s">
        <v>95</v>
      </c>
      <c r="C16" t="s">
        <v>111</v>
      </c>
      <c r="D16" t="s">
        <v>112</v>
      </c>
      <c r="E16" t="s">
        <v>98</v>
      </c>
      <c r="F16" t="s">
        <v>5</v>
      </c>
      <c r="G16" t="s">
        <v>26</v>
      </c>
      <c r="H16">
        <v>3</v>
      </c>
      <c r="I16" t="s">
        <v>27</v>
      </c>
      <c r="J16">
        <v>5</v>
      </c>
      <c r="K16" t="s">
        <v>117</v>
      </c>
      <c r="L16" t="s">
        <v>32</v>
      </c>
      <c r="M16" s="1">
        <f t="shared" si="0"/>
        <v>0</v>
      </c>
      <c r="N16" t="str" cm="1">
        <f t="array" ref="N16">_xlfn.SWITCH(M16,12,"Fix now",11,"Fix now",10,"Fix now",9,"Fix now",8,"Plan",7,"Plan",6,"Plan",5,"Plan",4,"Accept",3,"Accept",2,"Accept",1,"Accept",0,"Accept")</f>
        <v>Accept</v>
      </c>
      <c r="O16" s="5" t="s">
        <v>788</v>
      </c>
      <c r="P16" s="5" t="s">
        <v>818</v>
      </c>
      <c r="Q16" t="s">
        <v>802</v>
      </c>
      <c r="R16" s="5" t="s">
        <v>819</v>
      </c>
    </row>
    <row r="17" spans="1:18" ht="43.2" x14ac:dyDescent="0.3">
      <c r="A17" t="s">
        <v>94</v>
      </c>
      <c r="B17" t="s">
        <v>95</v>
      </c>
      <c r="C17" t="s">
        <v>118</v>
      </c>
      <c r="D17" t="s">
        <v>119</v>
      </c>
      <c r="E17" t="s">
        <v>98</v>
      </c>
      <c r="F17" t="s">
        <v>6</v>
      </c>
      <c r="G17" t="s">
        <v>33</v>
      </c>
      <c r="H17">
        <v>2</v>
      </c>
      <c r="I17" t="s">
        <v>34</v>
      </c>
      <c r="J17">
        <v>1</v>
      </c>
      <c r="K17" t="s">
        <v>120</v>
      </c>
      <c r="L17" t="s">
        <v>35</v>
      </c>
      <c r="M17" s="1">
        <f t="shared" si="0"/>
        <v>8</v>
      </c>
      <c r="N17" t="str" cm="1">
        <f t="array" ref="N17">_xlfn.SWITCH(M17,12,"Fix now",11,"Fix now",10,"Fix now",9,"Fix now",8,"Plan",7,"Plan",6,"Plan",5,"Plan",4,"Accept",3,"Accept",2,"Accept",1,"Accept",0,"Accept")</f>
        <v>Plan</v>
      </c>
      <c r="O17" s="5" t="s">
        <v>792</v>
      </c>
      <c r="P17" s="5" t="s">
        <v>820</v>
      </c>
      <c r="Q17" t="s">
        <v>794</v>
      </c>
      <c r="R17" s="5" t="s">
        <v>821</v>
      </c>
    </row>
    <row r="18" spans="1:18" ht="43.2" x14ac:dyDescent="0.3">
      <c r="A18" t="s">
        <v>94</v>
      </c>
      <c r="B18" t="s">
        <v>95</v>
      </c>
      <c r="C18" t="s">
        <v>118</v>
      </c>
      <c r="D18" t="s">
        <v>119</v>
      </c>
      <c r="E18" t="s">
        <v>98</v>
      </c>
      <c r="F18" t="s">
        <v>6</v>
      </c>
      <c r="G18" t="s">
        <v>33</v>
      </c>
      <c r="H18">
        <v>2</v>
      </c>
      <c r="I18" t="s">
        <v>34</v>
      </c>
      <c r="J18">
        <v>2</v>
      </c>
      <c r="K18" t="s">
        <v>121</v>
      </c>
      <c r="L18" t="s">
        <v>36</v>
      </c>
      <c r="M18" s="1">
        <f t="shared" si="0"/>
        <v>6</v>
      </c>
      <c r="N18" t="str" cm="1">
        <f t="array" ref="N18">_xlfn.SWITCH(M18,12,"Fix now",11,"Fix now",10,"Fix now",9,"Fix now",8,"Plan",7,"Plan",6,"Plan",5,"Plan",4,"Accept",3,"Accept",2,"Accept",1,"Accept",0,"Accept")</f>
        <v>Plan</v>
      </c>
      <c r="O18" s="5" t="s">
        <v>792</v>
      </c>
      <c r="P18" s="5" t="s">
        <v>822</v>
      </c>
      <c r="Q18" t="s">
        <v>798</v>
      </c>
      <c r="R18" s="5" t="s">
        <v>823</v>
      </c>
    </row>
    <row r="19" spans="1:18" ht="43.2" x14ac:dyDescent="0.3">
      <c r="A19" t="s">
        <v>94</v>
      </c>
      <c r="B19" t="s">
        <v>95</v>
      </c>
      <c r="C19" t="s">
        <v>118</v>
      </c>
      <c r="D19" t="s">
        <v>119</v>
      </c>
      <c r="E19" t="s">
        <v>98</v>
      </c>
      <c r="F19" t="s">
        <v>6</v>
      </c>
      <c r="G19" t="s">
        <v>33</v>
      </c>
      <c r="H19">
        <v>2</v>
      </c>
      <c r="I19" t="s">
        <v>34</v>
      </c>
      <c r="J19">
        <v>3</v>
      </c>
      <c r="K19" t="s">
        <v>122</v>
      </c>
      <c r="L19" t="s">
        <v>37</v>
      </c>
      <c r="M19" s="1">
        <f t="shared" si="0"/>
        <v>4</v>
      </c>
      <c r="N19" t="str" cm="1">
        <f t="array" ref="N19">_xlfn.SWITCH(M19,12,"Fix now",11,"Fix now",10,"Fix now",9,"Fix now",8,"Plan",7,"Plan",6,"Plan",5,"Plan",4,"Accept",3,"Accept",2,"Accept",1,"Accept",0,"Accept")</f>
        <v>Accept</v>
      </c>
      <c r="O19" s="5" t="s">
        <v>788</v>
      </c>
      <c r="P19" s="5" t="s">
        <v>822</v>
      </c>
      <c r="Q19" t="s">
        <v>798</v>
      </c>
      <c r="R19" s="5" t="s">
        <v>823</v>
      </c>
    </row>
    <row r="20" spans="1:18" ht="43.2" x14ac:dyDescent="0.3">
      <c r="A20" t="s">
        <v>94</v>
      </c>
      <c r="B20" t="s">
        <v>95</v>
      </c>
      <c r="C20" t="s">
        <v>118</v>
      </c>
      <c r="D20" t="s">
        <v>119</v>
      </c>
      <c r="E20" t="s">
        <v>98</v>
      </c>
      <c r="F20" t="s">
        <v>6</v>
      </c>
      <c r="G20" t="s">
        <v>33</v>
      </c>
      <c r="H20">
        <v>2</v>
      </c>
      <c r="I20" t="s">
        <v>34</v>
      </c>
      <c r="J20">
        <v>4</v>
      </c>
      <c r="K20" t="s">
        <v>123</v>
      </c>
      <c r="L20" t="s">
        <v>38</v>
      </c>
      <c r="M20" s="1">
        <f t="shared" si="0"/>
        <v>2</v>
      </c>
      <c r="N20" t="str" cm="1">
        <f t="array" ref="N20">_xlfn.SWITCH(M20,12,"Fix now",11,"Fix now",10,"Fix now",9,"Fix now",8,"Plan",7,"Plan",6,"Plan",5,"Plan",4,"Accept",3,"Accept",2,"Accept",1,"Accept",0,"Accept")</f>
        <v>Accept</v>
      </c>
      <c r="O20" s="5" t="s">
        <v>788</v>
      </c>
      <c r="P20" s="5" t="s">
        <v>824</v>
      </c>
      <c r="Q20" t="s">
        <v>802</v>
      </c>
      <c r="R20" s="5" t="s">
        <v>825</v>
      </c>
    </row>
    <row r="21" spans="1:18" ht="43.2" x14ac:dyDescent="0.3">
      <c r="A21" t="s">
        <v>94</v>
      </c>
      <c r="B21" t="s">
        <v>95</v>
      </c>
      <c r="C21" t="s">
        <v>118</v>
      </c>
      <c r="D21" t="s">
        <v>119</v>
      </c>
      <c r="E21" t="s">
        <v>98</v>
      </c>
      <c r="F21" t="s">
        <v>6</v>
      </c>
      <c r="G21" t="s">
        <v>33</v>
      </c>
      <c r="H21">
        <v>2</v>
      </c>
      <c r="I21" t="s">
        <v>34</v>
      </c>
      <c r="J21">
        <v>5</v>
      </c>
      <c r="K21" t="s">
        <v>124</v>
      </c>
      <c r="L21" t="s">
        <v>39</v>
      </c>
      <c r="M21" s="1">
        <f t="shared" si="0"/>
        <v>0</v>
      </c>
      <c r="N21" t="str" cm="1">
        <f t="array" ref="N21">_xlfn.SWITCH(M21,12,"Fix now",11,"Fix now",10,"Fix now",9,"Fix now",8,"Plan",7,"Plan",6,"Plan",5,"Plan",4,"Accept",3,"Accept",2,"Accept",1,"Accept",0,"Accept")</f>
        <v>Accept</v>
      </c>
      <c r="O21" s="5" t="s">
        <v>788</v>
      </c>
      <c r="P21" s="5" t="s">
        <v>824</v>
      </c>
      <c r="Q21" t="s">
        <v>802</v>
      </c>
      <c r="R21" s="5" t="s">
        <v>825</v>
      </c>
    </row>
    <row r="22" spans="1:18" ht="43.2" x14ac:dyDescent="0.3">
      <c r="A22" t="s">
        <v>94</v>
      </c>
      <c r="B22" t="s">
        <v>95</v>
      </c>
      <c r="C22" t="s">
        <v>125</v>
      </c>
      <c r="D22" t="s">
        <v>126</v>
      </c>
      <c r="E22" t="s">
        <v>98</v>
      </c>
      <c r="F22" t="s">
        <v>7</v>
      </c>
      <c r="G22" t="s">
        <v>40</v>
      </c>
      <c r="H22">
        <v>2</v>
      </c>
      <c r="I22" t="s">
        <v>41</v>
      </c>
      <c r="J22">
        <v>1</v>
      </c>
      <c r="K22" t="s">
        <v>127</v>
      </c>
      <c r="L22" t="s">
        <v>42</v>
      </c>
      <c r="M22" s="1">
        <f t="shared" si="0"/>
        <v>8</v>
      </c>
      <c r="N22" t="str" cm="1">
        <f t="array" ref="N22">_xlfn.SWITCH(M22,12,"Fix now",11,"Fix now",10,"Fix now",9,"Fix now",8,"Plan",7,"Plan",6,"Plan",5,"Plan",4,"Accept",3,"Accept",2,"Accept",1,"Accept",0,"Accept")</f>
        <v>Plan</v>
      </c>
      <c r="O22" s="5" t="s">
        <v>788</v>
      </c>
      <c r="P22" s="5" t="s">
        <v>826</v>
      </c>
      <c r="Q22" t="s">
        <v>794</v>
      </c>
      <c r="R22" s="5" t="s">
        <v>827</v>
      </c>
    </row>
    <row r="23" spans="1:18" ht="43.2" x14ac:dyDescent="0.3">
      <c r="A23" t="s">
        <v>94</v>
      </c>
      <c r="B23" t="s">
        <v>95</v>
      </c>
      <c r="C23" t="s">
        <v>125</v>
      </c>
      <c r="D23" t="s">
        <v>126</v>
      </c>
      <c r="E23" t="s">
        <v>98</v>
      </c>
      <c r="F23" t="s">
        <v>7</v>
      </c>
      <c r="G23" t="s">
        <v>40</v>
      </c>
      <c r="H23">
        <v>2</v>
      </c>
      <c r="I23" t="s">
        <v>41</v>
      </c>
      <c r="J23">
        <v>2</v>
      </c>
      <c r="K23" t="s">
        <v>128</v>
      </c>
      <c r="L23" t="s">
        <v>43</v>
      </c>
      <c r="M23" s="1">
        <f t="shared" si="0"/>
        <v>6</v>
      </c>
      <c r="N23" t="str" cm="1">
        <f t="array" ref="N23">_xlfn.SWITCH(M23,12,"Fix now",11,"Fix now",10,"Fix now",9,"Fix now",8,"Plan",7,"Plan",6,"Plan",5,"Plan",4,"Accept",3,"Accept",2,"Accept",1,"Accept",0,"Accept")</f>
        <v>Plan</v>
      </c>
      <c r="O23" s="5" t="s">
        <v>788</v>
      </c>
      <c r="P23" s="5" t="s">
        <v>828</v>
      </c>
      <c r="Q23" t="s">
        <v>798</v>
      </c>
      <c r="R23" s="5" t="s">
        <v>829</v>
      </c>
    </row>
    <row r="24" spans="1:18" ht="43.2" x14ac:dyDescent="0.3">
      <c r="A24" t="s">
        <v>94</v>
      </c>
      <c r="B24" t="s">
        <v>95</v>
      </c>
      <c r="C24" t="s">
        <v>125</v>
      </c>
      <c r="D24" t="s">
        <v>126</v>
      </c>
      <c r="E24" t="s">
        <v>98</v>
      </c>
      <c r="F24" t="s">
        <v>7</v>
      </c>
      <c r="G24" t="s">
        <v>40</v>
      </c>
      <c r="H24">
        <v>2</v>
      </c>
      <c r="I24" t="s">
        <v>41</v>
      </c>
      <c r="J24">
        <v>3</v>
      </c>
      <c r="K24" t="s">
        <v>129</v>
      </c>
      <c r="L24" t="s">
        <v>44</v>
      </c>
      <c r="M24" s="1">
        <f t="shared" si="0"/>
        <v>4</v>
      </c>
      <c r="N24" t="str" cm="1">
        <f t="array" ref="N24">_xlfn.SWITCH(M24,12,"Fix now",11,"Fix now",10,"Fix now",9,"Fix now",8,"Plan",7,"Plan",6,"Plan",5,"Plan",4,"Accept",3,"Accept",2,"Accept",1,"Accept",0,"Accept")</f>
        <v>Accept</v>
      </c>
      <c r="O24" s="5" t="s">
        <v>796</v>
      </c>
      <c r="P24" s="5" t="s">
        <v>828</v>
      </c>
      <c r="Q24" t="s">
        <v>798</v>
      </c>
      <c r="R24" s="5" t="s">
        <v>829</v>
      </c>
    </row>
    <row r="25" spans="1:18" ht="43.2" x14ac:dyDescent="0.3">
      <c r="A25" t="s">
        <v>94</v>
      </c>
      <c r="B25" t="s">
        <v>95</v>
      </c>
      <c r="C25" t="s">
        <v>125</v>
      </c>
      <c r="D25" t="s">
        <v>126</v>
      </c>
      <c r="E25" t="s">
        <v>98</v>
      </c>
      <c r="F25" t="s">
        <v>7</v>
      </c>
      <c r="G25" t="s">
        <v>40</v>
      </c>
      <c r="H25">
        <v>2</v>
      </c>
      <c r="I25" t="s">
        <v>41</v>
      </c>
      <c r="J25">
        <v>4</v>
      </c>
      <c r="K25" t="s">
        <v>130</v>
      </c>
      <c r="L25" t="s">
        <v>45</v>
      </c>
      <c r="M25" s="1">
        <f t="shared" si="0"/>
        <v>2</v>
      </c>
      <c r="N25" t="str" cm="1">
        <f t="array" ref="N25">_xlfn.SWITCH(M25,12,"Fix now",11,"Fix now",10,"Fix now",9,"Fix now",8,"Plan",7,"Plan",6,"Plan",5,"Plan",4,"Accept",3,"Accept",2,"Accept",1,"Accept",0,"Accept")</f>
        <v>Accept</v>
      </c>
      <c r="O25" s="5" t="s">
        <v>788</v>
      </c>
      <c r="P25" s="5" t="s">
        <v>830</v>
      </c>
      <c r="Q25" t="s">
        <v>802</v>
      </c>
      <c r="R25" s="5" t="s">
        <v>831</v>
      </c>
    </row>
    <row r="26" spans="1:18" ht="43.2" x14ac:dyDescent="0.3">
      <c r="A26" t="s">
        <v>94</v>
      </c>
      <c r="B26" t="s">
        <v>95</v>
      </c>
      <c r="C26" t="s">
        <v>125</v>
      </c>
      <c r="D26" t="s">
        <v>126</v>
      </c>
      <c r="E26" t="s">
        <v>98</v>
      </c>
      <c r="F26" t="s">
        <v>7</v>
      </c>
      <c r="G26" t="s">
        <v>40</v>
      </c>
      <c r="H26">
        <v>2</v>
      </c>
      <c r="I26" t="s">
        <v>41</v>
      </c>
      <c r="J26">
        <v>5</v>
      </c>
      <c r="K26" t="s">
        <v>131</v>
      </c>
      <c r="L26" t="s">
        <v>46</v>
      </c>
      <c r="M26" s="1">
        <f t="shared" si="0"/>
        <v>0</v>
      </c>
      <c r="N26" t="str" cm="1">
        <f t="array" ref="N26">_xlfn.SWITCH(M26,12,"Fix now",11,"Fix now",10,"Fix now",9,"Fix now",8,"Plan",7,"Plan",6,"Plan",5,"Plan",4,"Accept",3,"Accept",2,"Accept",1,"Accept",0,"Accept")</f>
        <v>Accept</v>
      </c>
      <c r="O26" s="5" t="s">
        <v>788</v>
      </c>
      <c r="P26" s="5" t="s">
        <v>830</v>
      </c>
      <c r="Q26" t="s">
        <v>802</v>
      </c>
      <c r="R26" s="5" t="s">
        <v>831</v>
      </c>
    </row>
    <row r="27" spans="1:18" ht="43.2" x14ac:dyDescent="0.3">
      <c r="A27" t="s">
        <v>132</v>
      </c>
      <c r="B27" t="s">
        <v>133</v>
      </c>
      <c r="C27" t="s">
        <v>134</v>
      </c>
      <c r="D27" t="s">
        <v>135</v>
      </c>
      <c r="E27" t="s">
        <v>136</v>
      </c>
      <c r="F27" t="s">
        <v>47</v>
      </c>
      <c r="G27" t="s">
        <v>48</v>
      </c>
      <c r="H27">
        <v>1</v>
      </c>
      <c r="I27" t="s">
        <v>49</v>
      </c>
      <c r="J27">
        <v>1</v>
      </c>
      <c r="K27" t="s">
        <v>137</v>
      </c>
      <c r="L27" t="s">
        <v>50</v>
      </c>
      <c r="M27" s="1">
        <f t="shared" si="0"/>
        <v>4</v>
      </c>
      <c r="N27" t="str" cm="1">
        <f t="array" ref="N27">_xlfn.SWITCH(M27,12,"Fix now",11,"Fix now",10,"Fix now",9,"Fix now",8,"Plan",7,"Plan",6,"Plan",5,"Plan",4,"Accept",3,"Accept",2,"Accept",1,"Accept",0,"Accept")</f>
        <v>Accept</v>
      </c>
      <c r="O27" s="5" t="s">
        <v>788</v>
      </c>
      <c r="P27" s="5" t="s">
        <v>832</v>
      </c>
      <c r="Q27" t="s">
        <v>798</v>
      </c>
      <c r="R27" s="5" t="s">
        <v>833</v>
      </c>
    </row>
    <row r="28" spans="1:18" ht="43.2" x14ac:dyDescent="0.3">
      <c r="A28" t="s">
        <v>132</v>
      </c>
      <c r="B28" t="s">
        <v>133</v>
      </c>
      <c r="C28" t="s">
        <v>134</v>
      </c>
      <c r="D28" t="s">
        <v>135</v>
      </c>
      <c r="E28" t="s">
        <v>136</v>
      </c>
      <c r="F28" t="s">
        <v>47</v>
      </c>
      <c r="G28" t="s">
        <v>48</v>
      </c>
      <c r="H28">
        <v>1</v>
      </c>
      <c r="I28" t="s">
        <v>49</v>
      </c>
      <c r="J28">
        <v>2</v>
      </c>
      <c r="K28" t="s">
        <v>138</v>
      </c>
      <c r="L28" t="s">
        <v>51</v>
      </c>
      <c r="M28" s="1">
        <f t="shared" si="0"/>
        <v>3</v>
      </c>
      <c r="N28" t="str" cm="1">
        <f t="array" ref="N28">_xlfn.SWITCH(M28,12,"Fix now",11,"Fix now",10,"Fix now",9,"Fix now",8,"Plan",7,"Plan",6,"Plan",5,"Plan",4,"Accept",3,"Accept",2,"Accept",1,"Accept",0,"Accept")</f>
        <v>Accept</v>
      </c>
      <c r="O28" s="5" t="s">
        <v>796</v>
      </c>
      <c r="P28" s="5" t="s">
        <v>834</v>
      </c>
      <c r="Q28" t="s">
        <v>802</v>
      </c>
      <c r="R28" s="5" t="s">
        <v>835</v>
      </c>
    </row>
    <row r="29" spans="1:18" ht="43.2" x14ac:dyDescent="0.3">
      <c r="A29" t="s">
        <v>132</v>
      </c>
      <c r="B29" t="s">
        <v>133</v>
      </c>
      <c r="C29" t="s">
        <v>134</v>
      </c>
      <c r="D29" t="s">
        <v>135</v>
      </c>
      <c r="E29" t="s">
        <v>136</v>
      </c>
      <c r="F29" t="s">
        <v>47</v>
      </c>
      <c r="G29" t="s">
        <v>48</v>
      </c>
      <c r="H29">
        <v>1</v>
      </c>
      <c r="I29" t="s">
        <v>49</v>
      </c>
      <c r="J29">
        <v>3</v>
      </c>
      <c r="K29" t="s">
        <v>139</v>
      </c>
      <c r="L29" t="s">
        <v>52</v>
      </c>
      <c r="M29" s="1">
        <f t="shared" si="0"/>
        <v>2</v>
      </c>
      <c r="N29" t="str" cm="1">
        <f t="array" ref="N29">_xlfn.SWITCH(M29,12,"Fix now",11,"Fix now",10,"Fix now",9,"Fix now",8,"Plan",7,"Plan",6,"Plan",5,"Plan",4,"Accept",3,"Accept",2,"Accept",1,"Accept",0,"Accept")</f>
        <v>Accept</v>
      </c>
      <c r="O29" s="5" t="s">
        <v>788</v>
      </c>
      <c r="P29" s="5" t="s">
        <v>834</v>
      </c>
      <c r="Q29" t="s">
        <v>802</v>
      </c>
      <c r="R29" s="5" t="s">
        <v>835</v>
      </c>
    </row>
    <row r="30" spans="1:18" ht="43.2" x14ac:dyDescent="0.3">
      <c r="A30" t="s">
        <v>132</v>
      </c>
      <c r="B30" t="s">
        <v>133</v>
      </c>
      <c r="C30" t="s">
        <v>134</v>
      </c>
      <c r="D30" t="s">
        <v>135</v>
      </c>
      <c r="E30" t="s">
        <v>136</v>
      </c>
      <c r="F30" t="s">
        <v>47</v>
      </c>
      <c r="G30" t="s">
        <v>48</v>
      </c>
      <c r="H30">
        <v>1</v>
      </c>
      <c r="I30" t="s">
        <v>49</v>
      </c>
      <c r="J30">
        <v>4</v>
      </c>
      <c r="K30" t="s">
        <v>140</v>
      </c>
      <c r="L30" t="s">
        <v>53</v>
      </c>
      <c r="M30" s="1">
        <f t="shared" si="0"/>
        <v>1</v>
      </c>
      <c r="N30" t="str" cm="1">
        <f t="array" ref="N30">_xlfn.SWITCH(M30,12,"Fix now",11,"Fix now",10,"Fix now",9,"Fix now",8,"Plan",7,"Plan",6,"Plan",5,"Plan",4,"Accept",3,"Accept",2,"Accept",1,"Accept",0,"Accept")</f>
        <v>Accept</v>
      </c>
      <c r="O30" s="5" t="s">
        <v>788</v>
      </c>
      <c r="P30" s="5" t="s">
        <v>834</v>
      </c>
      <c r="Q30" t="s">
        <v>802</v>
      </c>
      <c r="R30" s="5" t="s">
        <v>835</v>
      </c>
    </row>
    <row r="31" spans="1:18" ht="43.2" x14ac:dyDescent="0.3">
      <c r="A31" t="s">
        <v>132</v>
      </c>
      <c r="B31" t="s">
        <v>133</v>
      </c>
      <c r="C31" t="s">
        <v>134</v>
      </c>
      <c r="D31" t="s">
        <v>135</v>
      </c>
      <c r="E31" t="s">
        <v>136</v>
      </c>
      <c r="F31" t="s">
        <v>47</v>
      </c>
      <c r="G31" t="s">
        <v>48</v>
      </c>
      <c r="H31">
        <v>1</v>
      </c>
      <c r="I31" t="s">
        <v>49</v>
      </c>
      <c r="J31">
        <v>5</v>
      </c>
      <c r="K31" t="s">
        <v>141</v>
      </c>
      <c r="L31" t="s">
        <v>54</v>
      </c>
      <c r="M31" s="1">
        <f t="shared" si="0"/>
        <v>0</v>
      </c>
      <c r="N31" t="str" cm="1">
        <f t="array" ref="N31">_xlfn.SWITCH(M31,12,"Fix now",11,"Fix now",10,"Fix now",9,"Fix now",8,"Plan",7,"Plan",6,"Plan",5,"Plan",4,"Accept",3,"Accept",2,"Accept",1,"Accept",0,"Accept")</f>
        <v>Accept</v>
      </c>
      <c r="O31" s="5" t="s">
        <v>788</v>
      </c>
      <c r="P31" s="5" t="s">
        <v>834</v>
      </c>
      <c r="Q31" t="s">
        <v>802</v>
      </c>
      <c r="R31" s="5" t="s">
        <v>835</v>
      </c>
    </row>
    <row r="32" spans="1:18" ht="43.2" x14ac:dyDescent="0.3">
      <c r="A32" t="s">
        <v>132</v>
      </c>
      <c r="B32" t="s">
        <v>133</v>
      </c>
      <c r="C32" t="s">
        <v>142</v>
      </c>
      <c r="D32" t="s">
        <v>143</v>
      </c>
      <c r="E32" t="s">
        <v>136</v>
      </c>
      <c r="F32" t="s">
        <v>55</v>
      </c>
      <c r="G32" t="s">
        <v>56</v>
      </c>
      <c r="H32">
        <v>3</v>
      </c>
      <c r="I32" t="s">
        <v>57</v>
      </c>
      <c r="J32">
        <v>1</v>
      </c>
      <c r="K32" t="s">
        <v>144</v>
      </c>
      <c r="L32" t="s">
        <v>58</v>
      </c>
      <c r="M32" s="1">
        <f t="shared" si="0"/>
        <v>12</v>
      </c>
      <c r="N32" t="str" cm="1">
        <f t="array" ref="N32">_xlfn.SWITCH(M32,12,"Fix now",11,"Fix now",10,"Fix now",9,"Fix now",8,"Plan",7,"Plan",6,"Plan",5,"Plan",4,"Accept",3,"Accept",2,"Accept",1,"Accept",0,"Accept")</f>
        <v>Fix now</v>
      </c>
      <c r="O32" s="5" t="s">
        <v>788</v>
      </c>
      <c r="P32" s="5" t="s">
        <v>836</v>
      </c>
      <c r="Q32" t="s">
        <v>790</v>
      </c>
      <c r="R32" s="5" t="s">
        <v>837</v>
      </c>
    </row>
    <row r="33" spans="1:18" ht="43.2" x14ac:dyDescent="0.3">
      <c r="A33" t="s">
        <v>132</v>
      </c>
      <c r="B33" t="s">
        <v>133</v>
      </c>
      <c r="C33" t="s">
        <v>142</v>
      </c>
      <c r="D33" t="s">
        <v>143</v>
      </c>
      <c r="E33" t="s">
        <v>136</v>
      </c>
      <c r="F33" t="s">
        <v>55</v>
      </c>
      <c r="G33" t="s">
        <v>56</v>
      </c>
      <c r="H33">
        <v>3</v>
      </c>
      <c r="I33" t="s">
        <v>57</v>
      </c>
      <c r="J33">
        <v>2</v>
      </c>
      <c r="K33" t="s">
        <v>145</v>
      </c>
      <c r="L33" t="s">
        <v>59</v>
      </c>
      <c r="M33" s="1">
        <f t="shared" si="0"/>
        <v>9</v>
      </c>
      <c r="N33" t="str" cm="1">
        <f t="array" ref="N33">_xlfn.SWITCH(M33,12,"Fix now",11,"Fix now",10,"Fix now",9,"Fix now",8,"Plan",7,"Plan",6,"Plan",5,"Plan",4,"Accept",3,"Accept",2,"Accept",1,"Accept",0,"Accept")</f>
        <v>Fix now</v>
      </c>
      <c r="O33" s="5" t="s">
        <v>796</v>
      </c>
      <c r="P33" s="5" t="s">
        <v>838</v>
      </c>
      <c r="Q33" t="s">
        <v>794</v>
      </c>
      <c r="R33" s="5" t="s">
        <v>839</v>
      </c>
    </row>
    <row r="34" spans="1:18" ht="43.2" x14ac:dyDescent="0.3">
      <c r="A34" t="s">
        <v>132</v>
      </c>
      <c r="B34" t="s">
        <v>133</v>
      </c>
      <c r="C34" t="s">
        <v>142</v>
      </c>
      <c r="D34" t="s">
        <v>143</v>
      </c>
      <c r="E34" t="s">
        <v>136</v>
      </c>
      <c r="F34" t="s">
        <v>55</v>
      </c>
      <c r="G34" t="s">
        <v>56</v>
      </c>
      <c r="H34">
        <v>3</v>
      </c>
      <c r="I34" t="s">
        <v>57</v>
      </c>
      <c r="J34">
        <v>3</v>
      </c>
      <c r="K34" t="s">
        <v>146</v>
      </c>
      <c r="L34" t="s">
        <v>60</v>
      </c>
      <c r="M34" s="1">
        <f t="shared" si="0"/>
        <v>6</v>
      </c>
      <c r="N34" t="str" cm="1">
        <f t="array" ref="N34">_xlfn.SWITCH(M34,12,"Fix now",11,"Fix now",10,"Fix now",9,"Fix now",8,"Plan",7,"Plan",6,"Plan",5,"Plan",4,"Accept",3,"Accept",2,"Accept",1,"Accept",0,"Accept")</f>
        <v>Plan</v>
      </c>
      <c r="O34" s="5" t="s">
        <v>796</v>
      </c>
      <c r="P34" s="5" t="s">
        <v>840</v>
      </c>
      <c r="Q34" t="s">
        <v>798</v>
      </c>
      <c r="R34" s="5" t="s">
        <v>841</v>
      </c>
    </row>
    <row r="35" spans="1:18" ht="43.2" x14ac:dyDescent="0.3">
      <c r="A35" t="s">
        <v>132</v>
      </c>
      <c r="B35" t="s">
        <v>133</v>
      </c>
      <c r="C35" t="s">
        <v>142</v>
      </c>
      <c r="D35" t="s">
        <v>143</v>
      </c>
      <c r="E35" t="s">
        <v>136</v>
      </c>
      <c r="F35" t="s">
        <v>55</v>
      </c>
      <c r="G35" t="s">
        <v>56</v>
      </c>
      <c r="H35">
        <v>3</v>
      </c>
      <c r="I35" t="s">
        <v>57</v>
      </c>
      <c r="J35">
        <v>4</v>
      </c>
      <c r="K35" t="s">
        <v>147</v>
      </c>
      <c r="L35" t="s">
        <v>61</v>
      </c>
      <c r="M35" s="1">
        <f t="shared" si="0"/>
        <v>3</v>
      </c>
      <c r="N35" t="str" cm="1">
        <f t="array" ref="N35">_xlfn.SWITCH(M35,12,"Fix now",11,"Fix now",10,"Fix now",9,"Fix now",8,"Plan",7,"Plan",6,"Plan",5,"Plan",4,"Accept",3,"Accept",2,"Accept",1,"Accept",0,"Accept")</f>
        <v>Accept</v>
      </c>
      <c r="O35" s="5" t="s">
        <v>788</v>
      </c>
      <c r="P35" s="5" t="s">
        <v>842</v>
      </c>
      <c r="Q35" t="s">
        <v>802</v>
      </c>
      <c r="R35" s="5" t="s">
        <v>843</v>
      </c>
    </row>
    <row r="36" spans="1:18" ht="43.2" x14ac:dyDescent="0.3">
      <c r="A36" t="s">
        <v>132</v>
      </c>
      <c r="B36" t="s">
        <v>133</v>
      </c>
      <c r="C36" t="s">
        <v>142</v>
      </c>
      <c r="D36" t="s">
        <v>143</v>
      </c>
      <c r="E36" t="s">
        <v>136</v>
      </c>
      <c r="F36" t="s">
        <v>55</v>
      </c>
      <c r="G36" t="s">
        <v>56</v>
      </c>
      <c r="H36">
        <v>3</v>
      </c>
      <c r="I36" t="s">
        <v>57</v>
      </c>
      <c r="J36">
        <v>5</v>
      </c>
      <c r="K36" t="s">
        <v>148</v>
      </c>
      <c r="L36" t="s">
        <v>62</v>
      </c>
      <c r="M36" s="1">
        <f t="shared" si="0"/>
        <v>0</v>
      </c>
      <c r="N36" t="str" cm="1">
        <f t="array" ref="N36">_xlfn.SWITCH(M36,12,"Fix now",11,"Fix now",10,"Fix now",9,"Fix now",8,"Plan",7,"Plan",6,"Plan",5,"Plan",4,"Accept",3,"Accept",2,"Accept",1,"Accept",0,"Accept")</f>
        <v>Accept</v>
      </c>
      <c r="O36" s="5" t="s">
        <v>788</v>
      </c>
      <c r="P36" s="5" t="s">
        <v>842</v>
      </c>
      <c r="Q36" t="s">
        <v>802</v>
      </c>
      <c r="R36" s="5" t="s">
        <v>843</v>
      </c>
    </row>
    <row r="37" spans="1:18" ht="43.2" x14ac:dyDescent="0.3">
      <c r="A37" t="s">
        <v>132</v>
      </c>
      <c r="B37" t="s">
        <v>133</v>
      </c>
      <c r="C37" t="s">
        <v>149</v>
      </c>
      <c r="D37" t="s">
        <v>119</v>
      </c>
      <c r="E37" t="s">
        <v>136</v>
      </c>
      <c r="F37" t="s">
        <v>63</v>
      </c>
      <c r="G37" t="s">
        <v>64</v>
      </c>
      <c r="H37">
        <v>2</v>
      </c>
      <c r="I37" t="s">
        <v>65</v>
      </c>
      <c r="J37">
        <v>1</v>
      </c>
      <c r="K37" t="s">
        <v>150</v>
      </c>
      <c r="L37" t="s">
        <v>66</v>
      </c>
      <c r="M37" s="1">
        <f t="shared" si="0"/>
        <v>8</v>
      </c>
      <c r="N37" t="str" cm="1">
        <f t="array" ref="N37">_xlfn.SWITCH(M37,12,"Fix now",11,"Fix now",10,"Fix now",9,"Fix now",8,"Plan",7,"Plan",6,"Plan",5,"Plan",4,"Accept",3,"Accept",2,"Accept",1,"Accept",0,"Accept")</f>
        <v>Plan</v>
      </c>
      <c r="O37" s="5" t="s">
        <v>792</v>
      </c>
      <c r="P37" s="5" t="s">
        <v>820</v>
      </c>
      <c r="Q37" t="s">
        <v>794</v>
      </c>
      <c r="R37" s="5" t="s">
        <v>844</v>
      </c>
    </row>
    <row r="38" spans="1:18" ht="43.2" x14ac:dyDescent="0.3">
      <c r="A38" t="s">
        <v>132</v>
      </c>
      <c r="B38" t="s">
        <v>133</v>
      </c>
      <c r="C38" t="s">
        <v>149</v>
      </c>
      <c r="D38" t="s">
        <v>119</v>
      </c>
      <c r="E38" t="s">
        <v>136</v>
      </c>
      <c r="F38" t="s">
        <v>63</v>
      </c>
      <c r="G38" t="s">
        <v>64</v>
      </c>
      <c r="H38">
        <v>2</v>
      </c>
      <c r="I38" t="s">
        <v>65</v>
      </c>
      <c r="J38">
        <v>2</v>
      </c>
      <c r="K38" t="s">
        <v>151</v>
      </c>
      <c r="L38" t="s">
        <v>67</v>
      </c>
      <c r="M38" s="1">
        <f t="shared" si="0"/>
        <v>6</v>
      </c>
      <c r="N38" t="str" cm="1">
        <f t="array" ref="N38">_xlfn.SWITCH(M38,12,"Fix now",11,"Fix now",10,"Fix now",9,"Fix now",8,"Plan",7,"Plan",6,"Plan",5,"Plan",4,"Accept",3,"Accept",2,"Accept",1,"Accept",0,"Accept")</f>
        <v>Plan</v>
      </c>
      <c r="O38" s="5" t="s">
        <v>788</v>
      </c>
      <c r="P38" s="5" t="s">
        <v>822</v>
      </c>
      <c r="Q38" t="s">
        <v>798</v>
      </c>
      <c r="R38" s="5" t="s">
        <v>845</v>
      </c>
    </row>
    <row r="39" spans="1:18" ht="43.2" x14ac:dyDescent="0.3">
      <c r="A39" t="s">
        <v>132</v>
      </c>
      <c r="B39" t="s">
        <v>133</v>
      </c>
      <c r="C39" t="s">
        <v>149</v>
      </c>
      <c r="D39" t="s">
        <v>119</v>
      </c>
      <c r="E39" t="s">
        <v>136</v>
      </c>
      <c r="F39" t="s">
        <v>63</v>
      </c>
      <c r="G39" t="s">
        <v>64</v>
      </c>
      <c r="H39">
        <v>2</v>
      </c>
      <c r="I39" t="s">
        <v>65</v>
      </c>
      <c r="J39">
        <v>3</v>
      </c>
      <c r="K39" t="s">
        <v>152</v>
      </c>
      <c r="L39" t="s">
        <v>68</v>
      </c>
      <c r="M39" s="1">
        <f t="shared" si="0"/>
        <v>4</v>
      </c>
      <c r="N39" t="str" cm="1">
        <f t="array" ref="N39">_xlfn.SWITCH(M39,12,"Fix now",11,"Fix now",10,"Fix now",9,"Fix now",8,"Plan",7,"Plan",6,"Plan",5,"Plan",4,"Accept",3,"Accept",2,"Accept",1,"Accept",0,"Accept")</f>
        <v>Accept</v>
      </c>
      <c r="O39" s="5" t="s">
        <v>788</v>
      </c>
      <c r="P39" s="5" t="s">
        <v>822</v>
      </c>
      <c r="Q39" t="s">
        <v>798</v>
      </c>
      <c r="R39" s="5" t="s">
        <v>845</v>
      </c>
    </row>
    <row r="40" spans="1:18" ht="43.2" x14ac:dyDescent="0.3">
      <c r="A40" t="s">
        <v>132</v>
      </c>
      <c r="B40" t="s">
        <v>133</v>
      </c>
      <c r="C40" t="s">
        <v>149</v>
      </c>
      <c r="D40" t="s">
        <v>119</v>
      </c>
      <c r="E40" t="s">
        <v>136</v>
      </c>
      <c r="F40" t="s">
        <v>63</v>
      </c>
      <c r="G40" t="s">
        <v>64</v>
      </c>
      <c r="H40">
        <v>2</v>
      </c>
      <c r="I40" t="s">
        <v>65</v>
      </c>
      <c r="J40">
        <v>4</v>
      </c>
      <c r="K40" t="s">
        <v>153</v>
      </c>
      <c r="L40" t="s">
        <v>69</v>
      </c>
      <c r="M40" s="1">
        <f t="shared" si="0"/>
        <v>2</v>
      </c>
      <c r="N40" t="str" cm="1">
        <f t="array" ref="N40">_xlfn.SWITCH(M40,12,"Fix now",11,"Fix now",10,"Fix now",9,"Fix now",8,"Plan",7,"Plan",6,"Plan",5,"Plan",4,"Accept",3,"Accept",2,"Accept",1,"Accept",0,"Accept")</f>
        <v>Accept</v>
      </c>
      <c r="O40" s="5" t="s">
        <v>788</v>
      </c>
      <c r="P40" s="5" t="s">
        <v>824</v>
      </c>
      <c r="Q40" t="s">
        <v>802</v>
      </c>
      <c r="R40" s="5" t="s">
        <v>846</v>
      </c>
    </row>
    <row r="41" spans="1:18" ht="43.2" x14ac:dyDescent="0.3">
      <c r="A41" t="s">
        <v>132</v>
      </c>
      <c r="B41" t="s">
        <v>133</v>
      </c>
      <c r="C41" t="s">
        <v>149</v>
      </c>
      <c r="D41" t="s">
        <v>119</v>
      </c>
      <c r="E41" t="s">
        <v>136</v>
      </c>
      <c r="F41" t="s">
        <v>63</v>
      </c>
      <c r="G41" t="s">
        <v>64</v>
      </c>
      <c r="H41">
        <v>2</v>
      </c>
      <c r="I41" t="s">
        <v>65</v>
      </c>
      <c r="J41">
        <v>5</v>
      </c>
      <c r="K41" t="s">
        <v>154</v>
      </c>
      <c r="L41" t="s">
        <v>70</v>
      </c>
      <c r="M41" s="1">
        <f t="shared" si="0"/>
        <v>0</v>
      </c>
      <c r="N41" t="str" cm="1">
        <f t="array" ref="N41">_xlfn.SWITCH(M41,12,"Fix now",11,"Fix now",10,"Fix now",9,"Fix now",8,"Plan",7,"Plan",6,"Plan",5,"Plan",4,"Accept",3,"Accept",2,"Accept",1,"Accept",0,"Accept")</f>
        <v>Accept</v>
      </c>
      <c r="O41" s="5" t="s">
        <v>788</v>
      </c>
      <c r="P41" s="5" t="s">
        <v>824</v>
      </c>
      <c r="Q41" t="s">
        <v>802</v>
      </c>
      <c r="R41" s="5" t="s">
        <v>846</v>
      </c>
    </row>
    <row r="42" spans="1:18" ht="43.2" x14ac:dyDescent="0.3">
      <c r="A42" t="s">
        <v>132</v>
      </c>
      <c r="B42" t="s">
        <v>133</v>
      </c>
      <c r="C42" t="s">
        <v>155</v>
      </c>
      <c r="D42" t="s">
        <v>156</v>
      </c>
      <c r="E42" t="s">
        <v>136</v>
      </c>
      <c r="F42" t="s">
        <v>71</v>
      </c>
      <c r="G42" t="s">
        <v>72</v>
      </c>
      <c r="H42">
        <v>2</v>
      </c>
      <c r="I42" t="s">
        <v>73</v>
      </c>
      <c r="J42">
        <v>1</v>
      </c>
      <c r="K42" t="s">
        <v>157</v>
      </c>
      <c r="L42" t="s">
        <v>74</v>
      </c>
      <c r="M42" s="1">
        <f t="shared" si="0"/>
        <v>8</v>
      </c>
      <c r="N42" t="str" cm="1">
        <f t="array" ref="N42">_xlfn.SWITCH(M42,12,"Fix now",11,"Fix now",10,"Fix now",9,"Fix now",8,"Plan",7,"Plan",6,"Plan",5,"Plan",4,"Accept",3,"Accept",2,"Accept",1,"Accept",0,"Accept")</f>
        <v>Plan</v>
      </c>
      <c r="O42" s="5" t="s">
        <v>792</v>
      </c>
      <c r="P42" s="5" t="s">
        <v>847</v>
      </c>
      <c r="Q42" t="s">
        <v>794</v>
      </c>
      <c r="R42" s="5" t="s">
        <v>848</v>
      </c>
    </row>
    <row r="43" spans="1:18" ht="43.2" x14ac:dyDescent="0.3">
      <c r="A43" t="s">
        <v>132</v>
      </c>
      <c r="B43" t="s">
        <v>133</v>
      </c>
      <c r="C43" t="s">
        <v>155</v>
      </c>
      <c r="D43" t="s">
        <v>156</v>
      </c>
      <c r="E43" t="s">
        <v>136</v>
      </c>
      <c r="F43" t="s">
        <v>71</v>
      </c>
      <c r="G43" t="s">
        <v>72</v>
      </c>
      <c r="H43">
        <v>2</v>
      </c>
      <c r="I43" t="s">
        <v>73</v>
      </c>
      <c r="J43">
        <v>2</v>
      </c>
      <c r="K43" t="s">
        <v>158</v>
      </c>
      <c r="L43" t="s">
        <v>75</v>
      </c>
      <c r="M43" s="1">
        <f t="shared" si="0"/>
        <v>6</v>
      </c>
      <c r="N43" t="str" cm="1">
        <f t="array" ref="N43">_xlfn.SWITCH(M43,12,"Fix now",11,"Fix now",10,"Fix now",9,"Fix now",8,"Plan",7,"Plan",6,"Plan",5,"Plan",4,"Accept",3,"Accept",2,"Accept",1,"Accept",0,"Accept")</f>
        <v>Plan</v>
      </c>
      <c r="O43" s="5" t="s">
        <v>807</v>
      </c>
      <c r="P43" s="5" t="s">
        <v>849</v>
      </c>
      <c r="Q43" t="s">
        <v>798</v>
      </c>
      <c r="R43" s="5" t="s">
        <v>850</v>
      </c>
    </row>
    <row r="44" spans="1:18" ht="43.2" x14ac:dyDescent="0.3">
      <c r="A44" t="s">
        <v>132</v>
      </c>
      <c r="B44" t="s">
        <v>133</v>
      </c>
      <c r="C44" t="s">
        <v>155</v>
      </c>
      <c r="D44" t="s">
        <v>156</v>
      </c>
      <c r="E44" t="s">
        <v>136</v>
      </c>
      <c r="F44" t="s">
        <v>71</v>
      </c>
      <c r="G44" t="s">
        <v>72</v>
      </c>
      <c r="H44">
        <v>2</v>
      </c>
      <c r="I44" t="s">
        <v>73</v>
      </c>
      <c r="J44">
        <v>3</v>
      </c>
      <c r="K44" t="s">
        <v>159</v>
      </c>
      <c r="L44" t="s">
        <v>76</v>
      </c>
      <c r="M44" s="1">
        <f t="shared" si="0"/>
        <v>4</v>
      </c>
      <c r="N44" t="str" cm="1">
        <f t="array" ref="N44">_xlfn.SWITCH(M44,12,"Fix now",11,"Fix now",10,"Fix now",9,"Fix now",8,"Plan",7,"Plan",6,"Plan",5,"Plan",4,"Accept",3,"Accept",2,"Accept",1,"Accept",0,"Accept")</f>
        <v>Accept</v>
      </c>
      <c r="O44" s="5" t="s">
        <v>796</v>
      </c>
      <c r="P44" s="5" t="s">
        <v>849</v>
      </c>
      <c r="Q44" t="s">
        <v>798</v>
      </c>
      <c r="R44" s="5" t="s">
        <v>850</v>
      </c>
    </row>
    <row r="45" spans="1:18" ht="43.2" x14ac:dyDescent="0.3">
      <c r="A45" t="s">
        <v>132</v>
      </c>
      <c r="B45" t="s">
        <v>133</v>
      </c>
      <c r="C45" t="s">
        <v>155</v>
      </c>
      <c r="D45" t="s">
        <v>156</v>
      </c>
      <c r="E45" t="s">
        <v>136</v>
      </c>
      <c r="F45" t="s">
        <v>71</v>
      </c>
      <c r="G45" t="s">
        <v>72</v>
      </c>
      <c r="H45">
        <v>2</v>
      </c>
      <c r="I45" t="s">
        <v>73</v>
      </c>
      <c r="J45">
        <v>4</v>
      </c>
      <c r="K45" t="s">
        <v>160</v>
      </c>
      <c r="L45" t="s">
        <v>77</v>
      </c>
      <c r="M45" s="1">
        <f t="shared" si="0"/>
        <v>2</v>
      </c>
      <c r="N45" t="str" cm="1">
        <f t="array" ref="N45">_xlfn.SWITCH(M45,12,"Fix now",11,"Fix now",10,"Fix now",9,"Fix now",8,"Plan",7,"Plan",6,"Plan",5,"Plan",4,"Accept",3,"Accept",2,"Accept",1,"Accept",0,"Accept")</f>
        <v>Accept</v>
      </c>
      <c r="O45" s="5" t="s">
        <v>788</v>
      </c>
      <c r="P45" s="5" t="s">
        <v>851</v>
      </c>
      <c r="Q45" t="s">
        <v>802</v>
      </c>
      <c r="R45" s="5" t="s">
        <v>852</v>
      </c>
    </row>
    <row r="46" spans="1:18" ht="43.2" x14ac:dyDescent="0.3">
      <c r="A46" t="s">
        <v>132</v>
      </c>
      <c r="B46" t="s">
        <v>133</v>
      </c>
      <c r="C46" t="s">
        <v>155</v>
      </c>
      <c r="D46" t="s">
        <v>156</v>
      </c>
      <c r="E46" t="s">
        <v>136</v>
      </c>
      <c r="F46" t="s">
        <v>71</v>
      </c>
      <c r="G46" t="s">
        <v>72</v>
      </c>
      <c r="H46">
        <v>2</v>
      </c>
      <c r="I46" t="s">
        <v>73</v>
      </c>
      <c r="J46">
        <v>5</v>
      </c>
      <c r="K46" t="s">
        <v>161</v>
      </c>
      <c r="L46" t="s">
        <v>78</v>
      </c>
      <c r="M46" s="1">
        <f t="shared" si="0"/>
        <v>0</v>
      </c>
      <c r="N46" t="str" cm="1">
        <f t="array" ref="N46">_xlfn.SWITCH(M46,12,"Fix now",11,"Fix now",10,"Fix now",9,"Fix now",8,"Plan",7,"Plan",6,"Plan",5,"Plan",4,"Accept",3,"Accept",2,"Accept",1,"Accept",0,"Accept")</f>
        <v>Accept</v>
      </c>
      <c r="O46" s="5" t="s">
        <v>788</v>
      </c>
      <c r="P46" s="5" t="s">
        <v>851</v>
      </c>
      <c r="Q46" t="s">
        <v>802</v>
      </c>
      <c r="R46" s="5" t="s">
        <v>852</v>
      </c>
    </row>
    <row r="47" spans="1:18" ht="57.6" x14ac:dyDescent="0.3">
      <c r="A47" t="s">
        <v>132</v>
      </c>
      <c r="B47" t="s">
        <v>133</v>
      </c>
      <c r="C47" t="s">
        <v>162</v>
      </c>
      <c r="D47" t="s">
        <v>163</v>
      </c>
      <c r="E47" t="s">
        <v>136</v>
      </c>
      <c r="F47" t="s">
        <v>79</v>
      </c>
      <c r="G47" t="s">
        <v>80</v>
      </c>
      <c r="H47">
        <v>3</v>
      </c>
      <c r="I47" t="s">
        <v>81</v>
      </c>
      <c r="J47">
        <v>1</v>
      </c>
      <c r="K47" t="s">
        <v>164</v>
      </c>
      <c r="L47" t="s">
        <v>82</v>
      </c>
      <c r="M47" s="1">
        <f t="shared" si="0"/>
        <v>12</v>
      </c>
      <c r="N47" t="str" cm="1">
        <f t="array" ref="N47">_xlfn.SWITCH(M47,12,"Fix now",11,"Fix now",10,"Fix now",9,"Fix now",8,"Plan",7,"Plan",6,"Plan",5,"Plan",4,"Accept",3,"Accept",2,"Accept",1,"Accept",0,"Accept")</f>
        <v>Fix now</v>
      </c>
      <c r="O47" s="5" t="s">
        <v>788</v>
      </c>
      <c r="P47" s="5" t="s">
        <v>853</v>
      </c>
      <c r="Q47" t="s">
        <v>790</v>
      </c>
      <c r="R47" s="5" t="s">
        <v>854</v>
      </c>
    </row>
    <row r="48" spans="1:18" ht="43.2" x14ac:dyDescent="0.3">
      <c r="A48" t="s">
        <v>132</v>
      </c>
      <c r="B48" t="s">
        <v>133</v>
      </c>
      <c r="C48" t="s">
        <v>162</v>
      </c>
      <c r="D48" t="s">
        <v>163</v>
      </c>
      <c r="E48" t="s">
        <v>136</v>
      </c>
      <c r="F48" t="s">
        <v>79</v>
      </c>
      <c r="G48" t="s">
        <v>80</v>
      </c>
      <c r="H48">
        <v>3</v>
      </c>
      <c r="I48" t="s">
        <v>81</v>
      </c>
      <c r="J48">
        <v>2</v>
      </c>
      <c r="K48" t="s">
        <v>165</v>
      </c>
      <c r="L48" t="s">
        <v>83</v>
      </c>
      <c r="M48" s="1">
        <f t="shared" si="0"/>
        <v>9</v>
      </c>
      <c r="N48" t="str" cm="1">
        <f t="array" ref="N48">_xlfn.SWITCH(M48,12,"Fix now",11,"Fix now",10,"Fix now",9,"Fix now",8,"Plan",7,"Plan",6,"Plan",5,"Plan",4,"Accept",3,"Accept",2,"Accept",1,"Accept",0,"Accept")</f>
        <v>Fix now</v>
      </c>
      <c r="O48" s="5" t="s">
        <v>796</v>
      </c>
      <c r="P48" s="5" t="s">
        <v>855</v>
      </c>
      <c r="Q48" t="s">
        <v>794</v>
      </c>
      <c r="R48" s="5" t="s">
        <v>856</v>
      </c>
    </row>
    <row r="49" spans="1:18" ht="43.2" x14ac:dyDescent="0.3">
      <c r="A49" t="s">
        <v>132</v>
      </c>
      <c r="B49" t="s">
        <v>133</v>
      </c>
      <c r="C49" t="s">
        <v>162</v>
      </c>
      <c r="D49" t="s">
        <v>163</v>
      </c>
      <c r="E49" t="s">
        <v>136</v>
      </c>
      <c r="F49" t="s">
        <v>79</v>
      </c>
      <c r="G49" t="s">
        <v>80</v>
      </c>
      <c r="H49">
        <v>3</v>
      </c>
      <c r="I49" t="s">
        <v>81</v>
      </c>
      <c r="J49">
        <v>3</v>
      </c>
      <c r="K49" t="s">
        <v>166</v>
      </c>
      <c r="L49" t="s">
        <v>84</v>
      </c>
      <c r="M49" s="1">
        <f t="shared" si="0"/>
        <v>6</v>
      </c>
      <c r="N49" t="str" cm="1">
        <f t="array" ref="N49">_xlfn.SWITCH(M49,12,"Fix now",11,"Fix now",10,"Fix now",9,"Fix now",8,"Plan",7,"Plan",6,"Plan",5,"Plan",4,"Accept",3,"Accept",2,"Accept",1,"Accept",0,"Accept")</f>
        <v>Plan</v>
      </c>
      <c r="O49" s="5" t="s">
        <v>788</v>
      </c>
      <c r="P49" s="5" t="s">
        <v>857</v>
      </c>
      <c r="Q49" t="s">
        <v>798</v>
      </c>
      <c r="R49" s="5" t="s">
        <v>858</v>
      </c>
    </row>
    <row r="50" spans="1:18" ht="43.2" x14ac:dyDescent="0.3">
      <c r="A50" t="s">
        <v>132</v>
      </c>
      <c r="B50" t="s">
        <v>133</v>
      </c>
      <c r="C50" t="s">
        <v>162</v>
      </c>
      <c r="D50" t="s">
        <v>163</v>
      </c>
      <c r="E50" t="s">
        <v>136</v>
      </c>
      <c r="F50" t="s">
        <v>79</v>
      </c>
      <c r="G50" t="s">
        <v>80</v>
      </c>
      <c r="H50">
        <v>3</v>
      </c>
      <c r="I50" t="s">
        <v>81</v>
      </c>
      <c r="J50">
        <v>4</v>
      </c>
      <c r="K50" t="s">
        <v>167</v>
      </c>
      <c r="L50" t="s">
        <v>85</v>
      </c>
      <c r="M50" s="1">
        <f t="shared" si="0"/>
        <v>3</v>
      </c>
      <c r="N50" t="str" cm="1">
        <f t="array" ref="N50">_xlfn.SWITCH(M50,12,"Fix now",11,"Fix now",10,"Fix now",9,"Fix now",8,"Plan",7,"Plan",6,"Plan",5,"Plan",4,"Accept",3,"Accept",2,"Accept",1,"Accept",0,"Accept")</f>
        <v>Accept</v>
      </c>
      <c r="O50" s="5" t="s">
        <v>788</v>
      </c>
      <c r="P50" s="5" t="s">
        <v>859</v>
      </c>
      <c r="Q50" t="s">
        <v>802</v>
      </c>
      <c r="R50" s="5" t="s">
        <v>860</v>
      </c>
    </row>
    <row r="51" spans="1:18" ht="43.2" x14ac:dyDescent="0.3">
      <c r="A51" t="s">
        <v>132</v>
      </c>
      <c r="B51" t="s">
        <v>133</v>
      </c>
      <c r="C51" t="s">
        <v>162</v>
      </c>
      <c r="D51" t="s">
        <v>163</v>
      </c>
      <c r="E51" t="s">
        <v>136</v>
      </c>
      <c r="F51" t="s">
        <v>79</v>
      </c>
      <c r="G51" t="s">
        <v>80</v>
      </c>
      <c r="H51">
        <v>3</v>
      </c>
      <c r="I51" t="s">
        <v>81</v>
      </c>
      <c r="J51">
        <v>5</v>
      </c>
      <c r="K51" t="s">
        <v>168</v>
      </c>
      <c r="L51" t="s">
        <v>86</v>
      </c>
      <c r="M51" s="1">
        <f t="shared" si="0"/>
        <v>0</v>
      </c>
      <c r="N51" t="str" cm="1">
        <f t="array" ref="N51">_xlfn.SWITCH(M51,12,"Fix now",11,"Fix now",10,"Fix now",9,"Fix now",8,"Plan",7,"Plan",6,"Plan",5,"Plan",4,"Accept",3,"Accept",2,"Accept",1,"Accept",0,"Accept")</f>
        <v>Accept</v>
      </c>
      <c r="O51" s="5" t="s">
        <v>788</v>
      </c>
      <c r="P51" s="5" t="s">
        <v>859</v>
      </c>
      <c r="Q51" t="s">
        <v>802</v>
      </c>
      <c r="R51" s="5" t="s">
        <v>860</v>
      </c>
    </row>
    <row r="52" spans="1:18" ht="43.2" x14ac:dyDescent="0.3">
      <c r="A52" t="s">
        <v>169</v>
      </c>
      <c r="B52" t="s">
        <v>170</v>
      </c>
      <c r="C52" t="s">
        <v>171</v>
      </c>
      <c r="D52" t="s">
        <v>172</v>
      </c>
      <c r="E52" t="s">
        <v>173</v>
      </c>
      <c r="F52" t="s">
        <v>174</v>
      </c>
      <c r="G52" t="s">
        <v>175</v>
      </c>
      <c r="H52">
        <v>3</v>
      </c>
      <c r="I52" t="s">
        <v>176</v>
      </c>
      <c r="J52">
        <v>1</v>
      </c>
      <c r="K52" t="s">
        <v>177</v>
      </c>
      <c r="L52" t="s">
        <v>178</v>
      </c>
      <c r="M52" s="1">
        <f t="shared" si="0"/>
        <v>12</v>
      </c>
      <c r="N52" t="str" cm="1">
        <f t="array" ref="N52">_xlfn.SWITCH(M52,12,"Fix now",11,"Fix now",10,"Fix now",9,"Fix now",8,"Plan",7,"Plan",6,"Plan",5,"Plan",4,"Accept",3,"Accept",2,"Accept",1,"Accept",0,"Accept")</f>
        <v>Fix now</v>
      </c>
      <c r="O52" s="5" t="s">
        <v>788</v>
      </c>
      <c r="P52" s="5" t="s">
        <v>861</v>
      </c>
      <c r="Q52" t="s">
        <v>790</v>
      </c>
      <c r="R52" s="5" t="s">
        <v>862</v>
      </c>
    </row>
    <row r="53" spans="1:18" ht="43.2" x14ac:dyDescent="0.3">
      <c r="A53" t="s">
        <v>169</v>
      </c>
      <c r="B53" t="s">
        <v>170</v>
      </c>
      <c r="C53" t="s">
        <v>171</v>
      </c>
      <c r="D53" t="s">
        <v>172</v>
      </c>
      <c r="E53" t="s">
        <v>173</v>
      </c>
      <c r="F53" t="s">
        <v>174</v>
      </c>
      <c r="G53" t="s">
        <v>175</v>
      </c>
      <c r="H53">
        <v>3</v>
      </c>
      <c r="I53" t="s">
        <v>176</v>
      </c>
      <c r="J53">
        <v>2</v>
      </c>
      <c r="K53" t="s">
        <v>179</v>
      </c>
      <c r="L53" t="s">
        <v>180</v>
      </c>
      <c r="M53" s="1">
        <f t="shared" si="0"/>
        <v>9</v>
      </c>
      <c r="N53" t="str" cm="1">
        <f t="array" ref="N53">_xlfn.SWITCH(M53,12,"Fix now",11,"Fix now",10,"Fix now",9,"Fix now",8,"Plan",7,"Plan",6,"Plan",5,"Plan",4,"Accept",3,"Accept",2,"Accept",1,"Accept",0,"Accept")</f>
        <v>Fix now</v>
      </c>
      <c r="O53" s="5" t="s">
        <v>796</v>
      </c>
      <c r="P53" s="5" t="s">
        <v>863</v>
      </c>
      <c r="Q53" t="s">
        <v>794</v>
      </c>
      <c r="R53" s="5" t="s">
        <v>864</v>
      </c>
    </row>
    <row r="54" spans="1:18" ht="43.2" x14ac:dyDescent="0.3">
      <c r="A54" t="s">
        <v>169</v>
      </c>
      <c r="B54" t="s">
        <v>170</v>
      </c>
      <c r="C54" t="s">
        <v>171</v>
      </c>
      <c r="D54" t="s">
        <v>172</v>
      </c>
      <c r="E54" t="s">
        <v>173</v>
      </c>
      <c r="F54" t="s">
        <v>174</v>
      </c>
      <c r="G54" t="s">
        <v>175</v>
      </c>
      <c r="H54">
        <v>3</v>
      </c>
      <c r="I54" t="s">
        <v>176</v>
      </c>
      <c r="J54">
        <v>3</v>
      </c>
      <c r="K54" t="s">
        <v>181</v>
      </c>
      <c r="L54" t="s">
        <v>182</v>
      </c>
      <c r="M54" s="1">
        <f t="shared" si="0"/>
        <v>6</v>
      </c>
      <c r="N54" t="str" cm="1">
        <f t="array" ref="N54">_xlfn.SWITCH(M54,12,"Fix now",11,"Fix now",10,"Fix now",9,"Fix now",8,"Plan",7,"Plan",6,"Plan",5,"Plan",4,"Accept",3,"Accept",2,"Accept",1,"Accept",0,"Accept")</f>
        <v>Plan</v>
      </c>
      <c r="O54" s="5" t="s">
        <v>788</v>
      </c>
      <c r="P54" s="5" t="s">
        <v>865</v>
      </c>
      <c r="Q54" t="s">
        <v>798</v>
      </c>
      <c r="R54" s="5" t="s">
        <v>866</v>
      </c>
    </row>
    <row r="55" spans="1:18" ht="43.2" x14ac:dyDescent="0.3">
      <c r="A55" t="s">
        <v>169</v>
      </c>
      <c r="B55" t="s">
        <v>170</v>
      </c>
      <c r="C55" t="s">
        <v>171</v>
      </c>
      <c r="D55" t="s">
        <v>172</v>
      </c>
      <c r="E55" t="s">
        <v>173</v>
      </c>
      <c r="F55" t="s">
        <v>174</v>
      </c>
      <c r="G55" t="s">
        <v>175</v>
      </c>
      <c r="H55">
        <v>3</v>
      </c>
      <c r="I55" t="s">
        <v>176</v>
      </c>
      <c r="J55">
        <v>4</v>
      </c>
      <c r="K55" t="s">
        <v>183</v>
      </c>
      <c r="L55" t="s">
        <v>184</v>
      </c>
      <c r="M55" s="1">
        <f t="shared" si="0"/>
        <v>3</v>
      </c>
      <c r="N55" t="str" cm="1">
        <f t="array" ref="N55">_xlfn.SWITCH(M55,12,"Fix now",11,"Fix now",10,"Fix now",9,"Fix now",8,"Plan",7,"Plan",6,"Plan",5,"Plan",4,"Accept",3,"Accept",2,"Accept",1,"Accept",0,"Accept")</f>
        <v>Accept</v>
      </c>
      <c r="O55" s="5" t="s">
        <v>788</v>
      </c>
      <c r="P55" s="5" t="s">
        <v>867</v>
      </c>
      <c r="Q55" t="s">
        <v>802</v>
      </c>
      <c r="R55" s="5" t="s">
        <v>868</v>
      </c>
    </row>
    <row r="56" spans="1:18" ht="43.2" x14ac:dyDescent="0.3">
      <c r="A56" t="s">
        <v>169</v>
      </c>
      <c r="B56" t="s">
        <v>170</v>
      </c>
      <c r="C56" t="s">
        <v>171</v>
      </c>
      <c r="D56" t="s">
        <v>172</v>
      </c>
      <c r="E56" t="s">
        <v>173</v>
      </c>
      <c r="F56" t="s">
        <v>174</v>
      </c>
      <c r="G56" t="s">
        <v>175</v>
      </c>
      <c r="H56">
        <v>3</v>
      </c>
      <c r="I56" t="s">
        <v>176</v>
      </c>
      <c r="J56">
        <v>5</v>
      </c>
      <c r="K56" t="s">
        <v>185</v>
      </c>
      <c r="L56" t="s">
        <v>186</v>
      </c>
      <c r="M56" s="1">
        <f t="shared" si="0"/>
        <v>0</v>
      </c>
      <c r="N56" t="str" cm="1">
        <f t="array" ref="N56">_xlfn.SWITCH(M56,12,"Fix now",11,"Fix now",10,"Fix now",9,"Fix now",8,"Plan",7,"Plan",6,"Plan",5,"Plan",4,"Accept",3,"Accept",2,"Accept",1,"Accept",0,"Accept")</f>
        <v>Accept</v>
      </c>
      <c r="O56" s="5" t="s">
        <v>788</v>
      </c>
      <c r="P56" s="5" t="s">
        <v>867</v>
      </c>
      <c r="Q56" t="s">
        <v>802</v>
      </c>
      <c r="R56" s="5" t="s">
        <v>868</v>
      </c>
    </row>
    <row r="57" spans="1:18" ht="43.2" x14ac:dyDescent="0.3">
      <c r="A57" t="s">
        <v>169</v>
      </c>
      <c r="B57" t="s">
        <v>170</v>
      </c>
      <c r="C57" t="s">
        <v>187</v>
      </c>
      <c r="D57" t="s">
        <v>188</v>
      </c>
      <c r="E57" t="s">
        <v>173</v>
      </c>
      <c r="F57" t="s">
        <v>189</v>
      </c>
      <c r="G57" t="s">
        <v>190</v>
      </c>
      <c r="H57">
        <v>3</v>
      </c>
      <c r="I57" t="s">
        <v>191</v>
      </c>
      <c r="J57">
        <v>1</v>
      </c>
      <c r="K57" t="s">
        <v>192</v>
      </c>
      <c r="L57" t="s">
        <v>193</v>
      </c>
      <c r="M57" s="1">
        <f t="shared" si="0"/>
        <v>12</v>
      </c>
      <c r="N57" t="str" cm="1">
        <f t="array" ref="N57">_xlfn.SWITCH(M57,12,"Fix now",11,"Fix now",10,"Fix now",9,"Fix now",8,"Plan",7,"Plan",6,"Plan",5,"Plan",4,"Accept",3,"Accept",2,"Accept",1,"Accept",0,"Accept")</f>
        <v>Fix now</v>
      </c>
      <c r="O57" s="5" t="s">
        <v>788</v>
      </c>
      <c r="P57" s="5" t="s">
        <v>869</v>
      </c>
      <c r="Q57" t="s">
        <v>790</v>
      </c>
      <c r="R57" s="5" t="s">
        <v>870</v>
      </c>
    </row>
    <row r="58" spans="1:18" ht="43.2" x14ac:dyDescent="0.3">
      <c r="A58" t="s">
        <v>169</v>
      </c>
      <c r="B58" t="s">
        <v>170</v>
      </c>
      <c r="C58" t="s">
        <v>187</v>
      </c>
      <c r="D58" t="s">
        <v>188</v>
      </c>
      <c r="E58" t="s">
        <v>173</v>
      </c>
      <c r="F58" t="s">
        <v>189</v>
      </c>
      <c r="G58" t="s">
        <v>190</v>
      </c>
      <c r="H58">
        <v>3</v>
      </c>
      <c r="I58" t="s">
        <v>191</v>
      </c>
      <c r="J58">
        <v>2</v>
      </c>
      <c r="K58" t="s">
        <v>194</v>
      </c>
      <c r="L58" t="s">
        <v>195</v>
      </c>
      <c r="M58" s="1">
        <f t="shared" si="0"/>
        <v>9</v>
      </c>
      <c r="N58" t="str" cm="1">
        <f t="array" ref="N58">_xlfn.SWITCH(M58,12,"Fix now",11,"Fix now",10,"Fix now",9,"Fix now",8,"Plan",7,"Plan",6,"Plan",5,"Plan",4,"Accept",3,"Accept",2,"Accept",1,"Accept",0,"Accept")</f>
        <v>Fix now</v>
      </c>
      <c r="O58" s="5" t="s">
        <v>796</v>
      </c>
      <c r="P58" s="5" t="s">
        <v>871</v>
      </c>
      <c r="Q58" t="s">
        <v>794</v>
      </c>
      <c r="R58" s="5" t="s">
        <v>872</v>
      </c>
    </row>
    <row r="59" spans="1:18" ht="43.2" x14ac:dyDescent="0.3">
      <c r="A59" t="s">
        <v>169</v>
      </c>
      <c r="B59" t="s">
        <v>170</v>
      </c>
      <c r="C59" t="s">
        <v>187</v>
      </c>
      <c r="D59" t="s">
        <v>188</v>
      </c>
      <c r="E59" t="s">
        <v>173</v>
      </c>
      <c r="F59" t="s">
        <v>189</v>
      </c>
      <c r="G59" t="s">
        <v>190</v>
      </c>
      <c r="H59">
        <v>3</v>
      </c>
      <c r="I59" t="s">
        <v>191</v>
      </c>
      <c r="J59">
        <v>3</v>
      </c>
      <c r="K59" t="s">
        <v>196</v>
      </c>
      <c r="L59" t="s">
        <v>197</v>
      </c>
      <c r="M59" s="1">
        <f t="shared" si="0"/>
        <v>6</v>
      </c>
      <c r="N59" t="str" cm="1">
        <f t="array" ref="N59">_xlfn.SWITCH(M59,12,"Fix now",11,"Fix now",10,"Fix now",9,"Fix now",8,"Plan",7,"Plan",6,"Plan",5,"Plan",4,"Accept",3,"Accept",2,"Accept",1,"Accept",0,"Accept")</f>
        <v>Plan</v>
      </c>
      <c r="O59" s="5" t="s">
        <v>788</v>
      </c>
      <c r="P59" s="5" t="s">
        <v>873</v>
      </c>
      <c r="Q59" t="s">
        <v>798</v>
      </c>
      <c r="R59" s="5" t="s">
        <v>874</v>
      </c>
    </row>
    <row r="60" spans="1:18" ht="43.2" x14ac:dyDescent="0.3">
      <c r="A60" t="s">
        <v>169</v>
      </c>
      <c r="B60" t="s">
        <v>170</v>
      </c>
      <c r="C60" t="s">
        <v>187</v>
      </c>
      <c r="D60" t="s">
        <v>188</v>
      </c>
      <c r="E60" t="s">
        <v>173</v>
      </c>
      <c r="F60" t="s">
        <v>189</v>
      </c>
      <c r="G60" t="s">
        <v>190</v>
      </c>
      <c r="H60">
        <v>3</v>
      </c>
      <c r="I60" t="s">
        <v>191</v>
      </c>
      <c r="J60">
        <v>4</v>
      </c>
      <c r="K60" t="s">
        <v>198</v>
      </c>
      <c r="L60" t="s">
        <v>199</v>
      </c>
      <c r="M60" s="1">
        <f t="shared" si="0"/>
        <v>3</v>
      </c>
      <c r="N60" t="str" cm="1">
        <f t="array" ref="N60">_xlfn.SWITCH(M60,12,"Fix now",11,"Fix now",10,"Fix now",9,"Fix now",8,"Plan",7,"Plan",6,"Plan",5,"Plan",4,"Accept",3,"Accept",2,"Accept",1,"Accept",0,"Accept")</f>
        <v>Accept</v>
      </c>
      <c r="O60" s="5" t="s">
        <v>788</v>
      </c>
      <c r="P60" s="5" t="s">
        <v>875</v>
      </c>
      <c r="Q60" t="s">
        <v>802</v>
      </c>
      <c r="R60" s="5" t="s">
        <v>876</v>
      </c>
    </row>
    <row r="61" spans="1:18" ht="43.2" x14ac:dyDescent="0.3">
      <c r="A61" t="s">
        <v>169</v>
      </c>
      <c r="B61" t="s">
        <v>170</v>
      </c>
      <c r="C61" t="s">
        <v>187</v>
      </c>
      <c r="D61" t="s">
        <v>188</v>
      </c>
      <c r="E61" t="s">
        <v>173</v>
      </c>
      <c r="F61" t="s">
        <v>189</v>
      </c>
      <c r="G61" t="s">
        <v>190</v>
      </c>
      <c r="H61">
        <v>3</v>
      </c>
      <c r="I61" t="s">
        <v>191</v>
      </c>
      <c r="J61">
        <v>5</v>
      </c>
      <c r="K61" t="s">
        <v>200</v>
      </c>
      <c r="L61" t="s">
        <v>201</v>
      </c>
      <c r="M61" s="1">
        <f t="shared" si="0"/>
        <v>0</v>
      </c>
      <c r="N61" t="str" cm="1">
        <f t="array" ref="N61">_xlfn.SWITCH(M61,12,"Fix now",11,"Fix now",10,"Fix now",9,"Fix now",8,"Plan",7,"Plan",6,"Plan",5,"Plan",4,"Accept",3,"Accept",2,"Accept",1,"Accept",0,"Accept")</f>
        <v>Accept</v>
      </c>
      <c r="O61" s="5" t="s">
        <v>788</v>
      </c>
      <c r="P61" s="5" t="s">
        <v>875</v>
      </c>
      <c r="Q61" t="s">
        <v>802</v>
      </c>
      <c r="R61" s="5" t="s">
        <v>876</v>
      </c>
    </row>
    <row r="62" spans="1:18" ht="43.2" x14ac:dyDescent="0.3">
      <c r="A62" t="s">
        <v>169</v>
      </c>
      <c r="B62" t="s">
        <v>170</v>
      </c>
      <c r="C62" t="s">
        <v>202</v>
      </c>
      <c r="D62" t="s">
        <v>203</v>
      </c>
      <c r="E62" t="s">
        <v>173</v>
      </c>
      <c r="F62" t="s">
        <v>204</v>
      </c>
      <c r="G62" t="s">
        <v>205</v>
      </c>
      <c r="H62">
        <v>2</v>
      </c>
      <c r="I62" t="s">
        <v>206</v>
      </c>
      <c r="J62">
        <v>1</v>
      </c>
      <c r="K62" t="s">
        <v>207</v>
      </c>
      <c r="L62" t="s">
        <v>208</v>
      </c>
      <c r="M62" s="1">
        <f t="shared" si="0"/>
        <v>8</v>
      </c>
      <c r="N62" t="str" cm="1">
        <f t="array" ref="N62">_xlfn.SWITCH(M62,12,"Fix now",11,"Fix now",10,"Fix now",9,"Fix now",8,"Plan",7,"Plan",6,"Plan",5,"Plan",4,"Accept",3,"Accept",2,"Accept",1,"Accept",0,"Accept")</f>
        <v>Plan</v>
      </c>
      <c r="O62" s="5" t="s">
        <v>788</v>
      </c>
      <c r="P62" s="5" t="s">
        <v>877</v>
      </c>
      <c r="Q62" t="s">
        <v>794</v>
      </c>
      <c r="R62" s="5" t="s">
        <v>878</v>
      </c>
    </row>
    <row r="63" spans="1:18" ht="43.2" x14ac:dyDescent="0.3">
      <c r="A63" t="s">
        <v>169</v>
      </c>
      <c r="B63" t="s">
        <v>170</v>
      </c>
      <c r="C63" t="s">
        <v>202</v>
      </c>
      <c r="D63" t="s">
        <v>203</v>
      </c>
      <c r="E63" t="s">
        <v>173</v>
      </c>
      <c r="F63" t="s">
        <v>204</v>
      </c>
      <c r="G63" t="s">
        <v>205</v>
      </c>
      <c r="H63">
        <v>2</v>
      </c>
      <c r="I63" t="s">
        <v>206</v>
      </c>
      <c r="J63">
        <v>2</v>
      </c>
      <c r="K63" t="s">
        <v>209</v>
      </c>
      <c r="L63" t="s">
        <v>210</v>
      </c>
      <c r="M63" s="1">
        <f t="shared" si="0"/>
        <v>6</v>
      </c>
      <c r="N63" t="str" cm="1">
        <f t="array" ref="N63">_xlfn.SWITCH(M63,12,"Fix now",11,"Fix now",10,"Fix now",9,"Fix now",8,"Plan",7,"Plan",6,"Plan",5,"Plan",4,"Accept",3,"Accept",2,"Accept",1,"Accept",0,"Accept")</f>
        <v>Plan</v>
      </c>
      <c r="O63" s="5" t="s">
        <v>796</v>
      </c>
      <c r="P63" s="5" t="s">
        <v>879</v>
      </c>
      <c r="Q63" t="s">
        <v>798</v>
      </c>
      <c r="R63" s="5" t="s">
        <v>880</v>
      </c>
    </row>
    <row r="64" spans="1:18" ht="43.2" x14ac:dyDescent="0.3">
      <c r="A64" t="s">
        <v>169</v>
      </c>
      <c r="B64" t="s">
        <v>170</v>
      </c>
      <c r="C64" t="s">
        <v>202</v>
      </c>
      <c r="D64" t="s">
        <v>203</v>
      </c>
      <c r="E64" t="s">
        <v>173</v>
      </c>
      <c r="F64" t="s">
        <v>204</v>
      </c>
      <c r="G64" t="s">
        <v>205</v>
      </c>
      <c r="H64">
        <v>2</v>
      </c>
      <c r="I64" t="s">
        <v>206</v>
      </c>
      <c r="J64">
        <v>3</v>
      </c>
      <c r="K64" t="s">
        <v>211</v>
      </c>
      <c r="L64" t="s">
        <v>212</v>
      </c>
      <c r="M64" s="1">
        <f t="shared" si="0"/>
        <v>4</v>
      </c>
      <c r="N64" t="str" cm="1">
        <f t="array" ref="N64">_xlfn.SWITCH(M64,12,"Fix now",11,"Fix now",10,"Fix now",9,"Fix now",8,"Plan",7,"Plan",6,"Plan",5,"Plan",4,"Accept",3,"Accept",2,"Accept",1,"Accept",0,"Accept")</f>
        <v>Accept</v>
      </c>
      <c r="O64" s="5" t="s">
        <v>788</v>
      </c>
      <c r="P64" s="5" t="s">
        <v>879</v>
      </c>
      <c r="Q64" t="s">
        <v>798</v>
      </c>
      <c r="R64" s="5" t="s">
        <v>880</v>
      </c>
    </row>
    <row r="65" spans="1:18" ht="43.2" x14ac:dyDescent="0.3">
      <c r="A65" t="s">
        <v>169</v>
      </c>
      <c r="B65" t="s">
        <v>170</v>
      </c>
      <c r="C65" t="s">
        <v>202</v>
      </c>
      <c r="D65" t="s">
        <v>203</v>
      </c>
      <c r="E65" t="s">
        <v>173</v>
      </c>
      <c r="F65" t="s">
        <v>204</v>
      </c>
      <c r="G65" t="s">
        <v>205</v>
      </c>
      <c r="H65">
        <v>2</v>
      </c>
      <c r="I65" t="s">
        <v>206</v>
      </c>
      <c r="J65">
        <v>4</v>
      </c>
      <c r="K65" t="s">
        <v>213</v>
      </c>
      <c r="L65" t="s">
        <v>214</v>
      </c>
      <c r="M65" s="1">
        <f t="shared" si="0"/>
        <v>2</v>
      </c>
      <c r="N65" t="str" cm="1">
        <f t="array" ref="N65">_xlfn.SWITCH(M65,12,"Fix now",11,"Fix now",10,"Fix now",9,"Fix now",8,"Plan",7,"Plan",6,"Plan",5,"Plan",4,"Accept",3,"Accept",2,"Accept",1,"Accept",0,"Accept")</f>
        <v>Accept</v>
      </c>
      <c r="O65" s="5" t="s">
        <v>788</v>
      </c>
      <c r="P65" s="5" t="s">
        <v>881</v>
      </c>
      <c r="Q65" t="s">
        <v>802</v>
      </c>
      <c r="R65" s="5" t="s">
        <v>882</v>
      </c>
    </row>
    <row r="66" spans="1:18" ht="43.2" x14ac:dyDescent="0.3">
      <c r="A66" t="s">
        <v>169</v>
      </c>
      <c r="B66" t="s">
        <v>170</v>
      </c>
      <c r="C66" t="s">
        <v>202</v>
      </c>
      <c r="D66" t="s">
        <v>203</v>
      </c>
      <c r="E66" t="s">
        <v>173</v>
      </c>
      <c r="F66" t="s">
        <v>204</v>
      </c>
      <c r="G66" t="s">
        <v>205</v>
      </c>
      <c r="H66">
        <v>2</v>
      </c>
      <c r="I66" t="s">
        <v>206</v>
      </c>
      <c r="J66">
        <v>5</v>
      </c>
      <c r="K66" t="s">
        <v>215</v>
      </c>
      <c r="L66" t="s">
        <v>216</v>
      </c>
      <c r="M66" s="1">
        <f t="shared" si="0"/>
        <v>0</v>
      </c>
      <c r="N66" t="str" cm="1">
        <f t="array" ref="N66">_xlfn.SWITCH(M66,12,"Fix now",11,"Fix now",10,"Fix now",9,"Fix now",8,"Plan",7,"Plan",6,"Plan",5,"Plan",4,"Accept",3,"Accept",2,"Accept",1,"Accept",0,"Accept")</f>
        <v>Accept</v>
      </c>
      <c r="O66" s="5" t="s">
        <v>788</v>
      </c>
      <c r="P66" s="5" t="s">
        <v>881</v>
      </c>
      <c r="Q66" t="s">
        <v>802</v>
      </c>
      <c r="R66" s="5" t="s">
        <v>882</v>
      </c>
    </row>
    <row r="67" spans="1:18" ht="43.2" x14ac:dyDescent="0.3">
      <c r="A67" t="s">
        <v>169</v>
      </c>
      <c r="B67" t="s">
        <v>170</v>
      </c>
      <c r="C67" t="s">
        <v>217</v>
      </c>
      <c r="D67" t="s">
        <v>218</v>
      </c>
      <c r="E67" t="s">
        <v>173</v>
      </c>
      <c r="F67" t="s">
        <v>219</v>
      </c>
      <c r="G67" t="s">
        <v>220</v>
      </c>
      <c r="H67">
        <v>2</v>
      </c>
      <c r="I67" t="s">
        <v>221</v>
      </c>
      <c r="J67">
        <v>1</v>
      </c>
      <c r="K67" t="s">
        <v>222</v>
      </c>
      <c r="L67" t="s">
        <v>223</v>
      </c>
      <c r="M67" s="1">
        <f t="shared" ref="M67:M130" si="1">(5-$J67)*H67</f>
        <v>8</v>
      </c>
      <c r="N67" t="str" cm="1">
        <f t="array" ref="N67">_xlfn.SWITCH(M67,12,"Fix now",11,"Fix now",10,"Fix now",9,"Fix now",8,"Plan",7,"Plan",6,"Plan",5,"Plan",4,"Accept",3,"Accept",2,"Accept",1,"Accept",0,"Accept")</f>
        <v>Plan</v>
      </c>
      <c r="O67" s="5" t="s">
        <v>788</v>
      </c>
      <c r="P67" s="5" t="s">
        <v>883</v>
      </c>
      <c r="Q67" t="s">
        <v>794</v>
      </c>
      <c r="R67" s="5" t="s">
        <v>884</v>
      </c>
    </row>
    <row r="68" spans="1:18" ht="43.2" x14ac:dyDescent="0.3">
      <c r="A68" t="s">
        <v>169</v>
      </c>
      <c r="B68" t="s">
        <v>170</v>
      </c>
      <c r="C68" t="s">
        <v>217</v>
      </c>
      <c r="D68" t="s">
        <v>218</v>
      </c>
      <c r="E68" t="s">
        <v>173</v>
      </c>
      <c r="F68" t="s">
        <v>219</v>
      </c>
      <c r="G68" t="s">
        <v>220</v>
      </c>
      <c r="H68">
        <v>2</v>
      </c>
      <c r="I68" t="s">
        <v>221</v>
      </c>
      <c r="J68">
        <v>2</v>
      </c>
      <c r="K68" t="s">
        <v>224</v>
      </c>
      <c r="L68" t="s">
        <v>225</v>
      </c>
      <c r="M68" s="1">
        <f t="shared" si="1"/>
        <v>6</v>
      </c>
      <c r="N68" t="str" cm="1">
        <f t="array" ref="N68">_xlfn.SWITCH(M68,12,"Fix now",11,"Fix now",10,"Fix now",9,"Fix now",8,"Plan",7,"Plan",6,"Plan",5,"Plan",4,"Accept",3,"Accept",2,"Accept",1,"Accept",0,"Accept")</f>
        <v>Plan</v>
      </c>
      <c r="O68" s="5" t="s">
        <v>796</v>
      </c>
      <c r="P68" s="5" t="s">
        <v>885</v>
      </c>
      <c r="Q68" t="s">
        <v>798</v>
      </c>
      <c r="R68" s="5" t="s">
        <v>886</v>
      </c>
    </row>
    <row r="69" spans="1:18" ht="43.2" x14ac:dyDescent="0.3">
      <c r="A69" t="s">
        <v>169</v>
      </c>
      <c r="B69" t="s">
        <v>170</v>
      </c>
      <c r="C69" t="s">
        <v>217</v>
      </c>
      <c r="D69" t="s">
        <v>218</v>
      </c>
      <c r="E69" t="s">
        <v>173</v>
      </c>
      <c r="F69" t="s">
        <v>219</v>
      </c>
      <c r="G69" t="s">
        <v>220</v>
      </c>
      <c r="H69">
        <v>2</v>
      </c>
      <c r="I69" t="s">
        <v>221</v>
      </c>
      <c r="J69">
        <v>3</v>
      </c>
      <c r="K69" t="s">
        <v>226</v>
      </c>
      <c r="L69" t="s">
        <v>227</v>
      </c>
      <c r="M69" s="1">
        <f t="shared" si="1"/>
        <v>4</v>
      </c>
      <c r="N69" t="str" cm="1">
        <f t="array" ref="N69">_xlfn.SWITCH(M69,12,"Fix now",11,"Fix now",10,"Fix now",9,"Fix now",8,"Plan",7,"Plan",6,"Plan",5,"Plan",4,"Accept",3,"Accept",2,"Accept",1,"Accept",0,"Accept")</f>
        <v>Accept</v>
      </c>
      <c r="O69" s="5" t="s">
        <v>788</v>
      </c>
      <c r="P69" s="5" t="s">
        <v>885</v>
      </c>
      <c r="Q69" t="s">
        <v>798</v>
      </c>
      <c r="R69" s="5" t="s">
        <v>886</v>
      </c>
    </row>
    <row r="70" spans="1:18" ht="43.2" x14ac:dyDescent="0.3">
      <c r="A70" t="s">
        <v>169</v>
      </c>
      <c r="B70" t="s">
        <v>170</v>
      </c>
      <c r="C70" t="s">
        <v>217</v>
      </c>
      <c r="D70" t="s">
        <v>218</v>
      </c>
      <c r="E70" t="s">
        <v>173</v>
      </c>
      <c r="F70" t="s">
        <v>219</v>
      </c>
      <c r="G70" t="s">
        <v>220</v>
      </c>
      <c r="H70">
        <v>2</v>
      </c>
      <c r="I70" t="s">
        <v>221</v>
      </c>
      <c r="J70">
        <v>4</v>
      </c>
      <c r="K70" t="s">
        <v>228</v>
      </c>
      <c r="L70" t="s">
        <v>229</v>
      </c>
      <c r="M70" s="1">
        <f t="shared" si="1"/>
        <v>2</v>
      </c>
      <c r="N70" t="str" cm="1">
        <f t="array" ref="N70">_xlfn.SWITCH(M70,12,"Fix now",11,"Fix now",10,"Fix now",9,"Fix now",8,"Plan",7,"Plan",6,"Plan",5,"Plan",4,"Accept",3,"Accept",2,"Accept",1,"Accept",0,"Accept")</f>
        <v>Accept</v>
      </c>
      <c r="O70" s="5" t="s">
        <v>788</v>
      </c>
      <c r="P70" s="5" t="s">
        <v>887</v>
      </c>
      <c r="Q70" t="s">
        <v>802</v>
      </c>
      <c r="R70" s="5" t="s">
        <v>888</v>
      </c>
    </row>
    <row r="71" spans="1:18" ht="43.2" x14ac:dyDescent="0.3">
      <c r="A71" t="s">
        <v>169</v>
      </c>
      <c r="B71" t="s">
        <v>170</v>
      </c>
      <c r="C71" t="s">
        <v>217</v>
      </c>
      <c r="D71" t="s">
        <v>218</v>
      </c>
      <c r="E71" t="s">
        <v>173</v>
      </c>
      <c r="F71" t="s">
        <v>219</v>
      </c>
      <c r="G71" t="s">
        <v>220</v>
      </c>
      <c r="H71">
        <v>2</v>
      </c>
      <c r="I71" t="s">
        <v>221</v>
      </c>
      <c r="J71">
        <v>5</v>
      </c>
      <c r="K71" t="s">
        <v>230</v>
      </c>
      <c r="L71" t="s">
        <v>231</v>
      </c>
      <c r="M71" s="1">
        <f t="shared" si="1"/>
        <v>0</v>
      </c>
      <c r="N71" t="str" cm="1">
        <f t="array" ref="N71">_xlfn.SWITCH(M71,12,"Fix now",11,"Fix now",10,"Fix now",9,"Fix now",8,"Plan",7,"Plan",6,"Plan",5,"Plan",4,"Accept",3,"Accept",2,"Accept",1,"Accept",0,"Accept")</f>
        <v>Accept</v>
      </c>
      <c r="O71" s="5" t="s">
        <v>788</v>
      </c>
      <c r="P71" s="5" t="s">
        <v>887</v>
      </c>
      <c r="Q71" t="s">
        <v>802</v>
      </c>
      <c r="R71" s="5" t="s">
        <v>888</v>
      </c>
    </row>
    <row r="72" spans="1:18" ht="43.2" x14ac:dyDescent="0.3">
      <c r="A72" t="s">
        <v>169</v>
      </c>
      <c r="B72" t="s">
        <v>170</v>
      </c>
      <c r="C72" t="s">
        <v>232</v>
      </c>
      <c r="D72" t="s">
        <v>233</v>
      </c>
      <c r="E72" t="s">
        <v>173</v>
      </c>
      <c r="F72" t="s">
        <v>234</v>
      </c>
      <c r="G72" t="s">
        <v>235</v>
      </c>
      <c r="H72">
        <v>2</v>
      </c>
      <c r="I72" t="s">
        <v>236</v>
      </c>
      <c r="J72">
        <v>1</v>
      </c>
      <c r="K72" t="s">
        <v>237</v>
      </c>
      <c r="L72" t="s">
        <v>238</v>
      </c>
      <c r="M72" s="1">
        <f t="shared" si="1"/>
        <v>8</v>
      </c>
      <c r="N72" t="str" cm="1">
        <f t="array" ref="N72">_xlfn.SWITCH(M72,12,"Fix now",11,"Fix now",10,"Fix now",9,"Fix now",8,"Plan",7,"Plan",6,"Plan",5,"Plan",4,"Accept",3,"Accept",2,"Accept",1,"Accept",0,"Accept")</f>
        <v>Plan</v>
      </c>
      <c r="O72" s="5" t="s">
        <v>792</v>
      </c>
      <c r="P72" s="5" t="s">
        <v>889</v>
      </c>
      <c r="Q72" t="s">
        <v>794</v>
      </c>
      <c r="R72" s="5" t="s">
        <v>890</v>
      </c>
    </row>
    <row r="73" spans="1:18" ht="43.2" x14ac:dyDescent="0.3">
      <c r="A73" t="s">
        <v>169</v>
      </c>
      <c r="B73" t="s">
        <v>170</v>
      </c>
      <c r="C73" t="s">
        <v>232</v>
      </c>
      <c r="D73" t="s">
        <v>233</v>
      </c>
      <c r="E73" t="s">
        <v>173</v>
      </c>
      <c r="F73" t="s">
        <v>234</v>
      </c>
      <c r="G73" t="s">
        <v>235</v>
      </c>
      <c r="H73">
        <v>2</v>
      </c>
      <c r="I73" t="s">
        <v>236</v>
      </c>
      <c r="J73">
        <v>2</v>
      </c>
      <c r="K73" t="s">
        <v>239</v>
      </c>
      <c r="L73" t="s">
        <v>240</v>
      </c>
      <c r="M73" s="1">
        <f t="shared" si="1"/>
        <v>6</v>
      </c>
      <c r="N73" t="str" cm="1">
        <f t="array" ref="N73">_xlfn.SWITCH(M73,12,"Fix now",11,"Fix now",10,"Fix now",9,"Fix now",8,"Plan",7,"Plan",6,"Plan",5,"Plan",4,"Accept",3,"Accept",2,"Accept",1,"Accept",0,"Accept")</f>
        <v>Plan</v>
      </c>
      <c r="O73" s="5" t="s">
        <v>796</v>
      </c>
      <c r="P73" s="5" t="s">
        <v>891</v>
      </c>
      <c r="Q73" t="s">
        <v>798</v>
      </c>
      <c r="R73" s="5" t="s">
        <v>892</v>
      </c>
    </row>
    <row r="74" spans="1:18" ht="43.2" x14ac:dyDescent="0.3">
      <c r="A74" t="s">
        <v>169</v>
      </c>
      <c r="B74" t="s">
        <v>170</v>
      </c>
      <c r="C74" t="s">
        <v>232</v>
      </c>
      <c r="D74" t="s">
        <v>233</v>
      </c>
      <c r="E74" t="s">
        <v>173</v>
      </c>
      <c r="F74" t="s">
        <v>234</v>
      </c>
      <c r="G74" t="s">
        <v>235</v>
      </c>
      <c r="H74">
        <v>2</v>
      </c>
      <c r="I74" t="s">
        <v>236</v>
      </c>
      <c r="J74">
        <v>3</v>
      </c>
      <c r="K74" t="s">
        <v>241</v>
      </c>
      <c r="L74" t="s">
        <v>242</v>
      </c>
      <c r="M74" s="1">
        <f t="shared" si="1"/>
        <v>4</v>
      </c>
      <c r="N74" t="str" cm="1">
        <f t="array" ref="N74">_xlfn.SWITCH(M74,12,"Fix now",11,"Fix now",10,"Fix now",9,"Fix now",8,"Plan",7,"Plan",6,"Plan",5,"Plan",4,"Accept",3,"Accept",2,"Accept",1,"Accept",0,"Accept")</f>
        <v>Accept</v>
      </c>
      <c r="O74" s="5" t="s">
        <v>788</v>
      </c>
      <c r="P74" s="5" t="s">
        <v>891</v>
      </c>
      <c r="Q74" t="s">
        <v>798</v>
      </c>
      <c r="R74" s="5" t="s">
        <v>892</v>
      </c>
    </row>
    <row r="75" spans="1:18" ht="43.2" x14ac:dyDescent="0.3">
      <c r="A75" t="s">
        <v>169</v>
      </c>
      <c r="B75" t="s">
        <v>170</v>
      </c>
      <c r="C75" t="s">
        <v>232</v>
      </c>
      <c r="D75" t="s">
        <v>233</v>
      </c>
      <c r="E75" t="s">
        <v>173</v>
      </c>
      <c r="F75" t="s">
        <v>234</v>
      </c>
      <c r="G75" t="s">
        <v>235</v>
      </c>
      <c r="H75">
        <v>2</v>
      </c>
      <c r="I75" t="s">
        <v>236</v>
      </c>
      <c r="J75">
        <v>4</v>
      </c>
      <c r="K75" t="s">
        <v>243</v>
      </c>
      <c r="L75" t="s">
        <v>244</v>
      </c>
      <c r="M75" s="1">
        <f t="shared" si="1"/>
        <v>2</v>
      </c>
      <c r="N75" t="str" cm="1">
        <f t="array" ref="N75">_xlfn.SWITCH(M75,12,"Fix now",11,"Fix now",10,"Fix now",9,"Fix now",8,"Plan",7,"Plan",6,"Plan",5,"Plan",4,"Accept",3,"Accept",2,"Accept",1,"Accept",0,"Accept")</f>
        <v>Accept</v>
      </c>
      <c r="O75" s="5" t="s">
        <v>788</v>
      </c>
      <c r="P75" s="5" t="s">
        <v>893</v>
      </c>
      <c r="Q75" t="s">
        <v>802</v>
      </c>
      <c r="R75" s="5" t="s">
        <v>894</v>
      </c>
    </row>
    <row r="76" spans="1:18" ht="43.2" x14ac:dyDescent="0.3">
      <c r="A76" t="s">
        <v>169</v>
      </c>
      <c r="B76" t="s">
        <v>170</v>
      </c>
      <c r="C76" t="s">
        <v>232</v>
      </c>
      <c r="D76" t="s">
        <v>233</v>
      </c>
      <c r="E76" t="s">
        <v>173</v>
      </c>
      <c r="F76" t="s">
        <v>234</v>
      </c>
      <c r="G76" t="s">
        <v>235</v>
      </c>
      <c r="H76">
        <v>2</v>
      </c>
      <c r="I76" t="s">
        <v>236</v>
      </c>
      <c r="J76">
        <v>5</v>
      </c>
      <c r="K76" t="s">
        <v>245</v>
      </c>
      <c r="L76" t="s">
        <v>246</v>
      </c>
      <c r="M76" s="1">
        <f t="shared" si="1"/>
        <v>0</v>
      </c>
      <c r="N76" t="str" cm="1">
        <f t="array" ref="N76">_xlfn.SWITCH(M76,12,"Fix now",11,"Fix now",10,"Fix now",9,"Fix now",8,"Plan",7,"Plan",6,"Plan",5,"Plan",4,"Accept",3,"Accept",2,"Accept",1,"Accept",0,"Accept")</f>
        <v>Accept</v>
      </c>
      <c r="O76" s="5" t="s">
        <v>788</v>
      </c>
      <c r="P76" s="5" t="s">
        <v>893</v>
      </c>
      <c r="Q76" t="s">
        <v>802</v>
      </c>
      <c r="R76" s="5" t="s">
        <v>894</v>
      </c>
    </row>
    <row r="77" spans="1:18" ht="43.2" x14ac:dyDescent="0.3">
      <c r="A77" t="s">
        <v>247</v>
      </c>
      <c r="B77" t="s">
        <v>248</v>
      </c>
      <c r="C77" t="s">
        <v>249</v>
      </c>
      <c r="D77" t="s">
        <v>250</v>
      </c>
      <c r="E77" t="s">
        <v>136</v>
      </c>
      <c r="F77" t="s">
        <v>251</v>
      </c>
      <c r="G77" t="s">
        <v>252</v>
      </c>
      <c r="H77">
        <v>2</v>
      </c>
      <c r="I77" t="s">
        <v>253</v>
      </c>
      <c r="J77">
        <v>1</v>
      </c>
      <c r="K77" t="s">
        <v>254</v>
      </c>
      <c r="L77" t="s">
        <v>255</v>
      </c>
      <c r="M77" s="1">
        <f t="shared" si="1"/>
        <v>8</v>
      </c>
      <c r="N77" t="str" cm="1">
        <f t="array" ref="N77">_xlfn.SWITCH(M77,12,"Fix now",11,"Fix now",10,"Fix now",9,"Fix now",8,"Plan",7,"Plan",6,"Plan",5,"Plan",4,"Accept",3,"Accept",2,"Accept",1,"Accept",0,"Accept")</f>
        <v>Plan</v>
      </c>
      <c r="O77" s="5" t="s">
        <v>788</v>
      </c>
      <c r="P77" s="5" t="s">
        <v>895</v>
      </c>
      <c r="Q77" t="s">
        <v>794</v>
      </c>
      <c r="R77" s="5" t="s">
        <v>896</v>
      </c>
    </row>
    <row r="78" spans="1:18" ht="43.2" x14ac:dyDescent="0.3">
      <c r="A78" t="s">
        <v>247</v>
      </c>
      <c r="B78" t="s">
        <v>248</v>
      </c>
      <c r="C78" t="s">
        <v>249</v>
      </c>
      <c r="D78" t="s">
        <v>250</v>
      </c>
      <c r="E78" t="s">
        <v>136</v>
      </c>
      <c r="F78" t="s">
        <v>251</v>
      </c>
      <c r="G78" t="s">
        <v>252</v>
      </c>
      <c r="H78">
        <v>2</v>
      </c>
      <c r="I78" t="s">
        <v>253</v>
      </c>
      <c r="J78">
        <v>2</v>
      </c>
      <c r="K78" t="s">
        <v>256</v>
      </c>
      <c r="L78" t="s">
        <v>257</v>
      </c>
      <c r="M78" s="1">
        <f t="shared" si="1"/>
        <v>6</v>
      </c>
      <c r="N78" t="str" cm="1">
        <f t="array" ref="N78">_xlfn.SWITCH(M78,12,"Fix now",11,"Fix now",10,"Fix now",9,"Fix now",8,"Plan",7,"Plan",6,"Plan",5,"Plan",4,"Accept",3,"Accept",2,"Accept",1,"Accept",0,"Accept")</f>
        <v>Plan</v>
      </c>
      <c r="O78" s="5" t="s">
        <v>796</v>
      </c>
      <c r="P78" s="5" t="s">
        <v>897</v>
      </c>
      <c r="Q78" t="s">
        <v>798</v>
      </c>
      <c r="R78" s="5" t="s">
        <v>898</v>
      </c>
    </row>
    <row r="79" spans="1:18" ht="43.2" x14ac:dyDescent="0.3">
      <c r="A79" t="s">
        <v>247</v>
      </c>
      <c r="B79" t="s">
        <v>248</v>
      </c>
      <c r="C79" t="s">
        <v>249</v>
      </c>
      <c r="D79" t="s">
        <v>250</v>
      </c>
      <c r="E79" t="s">
        <v>136</v>
      </c>
      <c r="F79" t="s">
        <v>251</v>
      </c>
      <c r="G79" t="s">
        <v>252</v>
      </c>
      <c r="H79">
        <v>2</v>
      </c>
      <c r="I79" t="s">
        <v>253</v>
      </c>
      <c r="J79">
        <v>3</v>
      </c>
      <c r="K79" t="s">
        <v>258</v>
      </c>
      <c r="L79" t="s">
        <v>259</v>
      </c>
      <c r="M79" s="1">
        <f t="shared" si="1"/>
        <v>4</v>
      </c>
      <c r="N79" t="str" cm="1">
        <f t="array" ref="N79">_xlfn.SWITCH(M79,12,"Fix now",11,"Fix now",10,"Fix now",9,"Fix now",8,"Plan",7,"Plan",6,"Plan",5,"Plan",4,"Accept",3,"Accept",2,"Accept",1,"Accept",0,"Accept")</f>
        <v>Accept</v>
      </c>
      <c r="O79" s="5" t="s">
        <v>788</v>
      </c>
      <c r="P79" s="5" t="s">
        <v>897</v>
      </c>
      <c r="Q79" t="s">
        <v>798</v>
      </c>
      <c r="R79" s="5" t="s">
        <v>898</v>
      </c>
    </row>
    <row r="80" spans="1:18" ht="43.2" x14ac:dyDescent="0.3">
      <c r="A80" t="s">
        <v>247</v>
      </c>
      <c r="B80" t="s">
        <v>248</v>
      </c>
      <c r="C80" t="s">
        <v>249</v>
      </c>
      <c r="D80" t="s">
        <v>250</v>
      </c>
      <c r="E80" t="s">
        <v>136</v>
      </c>
      <c r="F80" t="s">
        <v>251</v>
      </c>
      <c r="G80" t="s">
        <v>252</v>
      </c>
      <c r="H80">
        <v>2</v>
      </c>
      <c r="I80" t="s">
        <v>253</v>
      </c>
      <c r="J80">
        <v>4</v>
      </c>
      <c r="K80" t="s">
        <v>260</v>
      </c>
      <c r="L80" t="s">
        <v>261</v>
      </c>
      <c r="M80" s="1">
        <f t="shared" si="1"/>
        <v>2</v>
      </c>
      <c r="N80" t="str" cm="1">
        <f t="array" ref="N80">_xlfn.SWITCH(M80,12,"Fix now",11,"Fix now",10,"Fix now",9,"Fix now",8,"Plan",7,"Plan",6,"Plan",5,"Plan",4,"Accept",3,"Accept",2,"Accept",1,"Accept",0,"Accept")</f>
        <v>Accept</v>
      </c>
      <c r="O80" s="5" t="s">
        <v>788</v>
      </c>
      <c r="P80" s="5" t="s">
        <v>899</v>
      </c>
      <c r="Q80" t="s">
        <v>802</v>
      </c>
      <c r="R80" s="5" t="s">
        <v>900</v>
      </c>
    </row>
    <row r="81" spans="1:18" ht="43.2" x14ac:dyDescent="0.3">
      <c r="A81" t="s">
        <v>247</v>
      </c>
      <c r="B81" t="s">
        <v>248</v>
      </c>
      <c r="C81" t="s">
        <v>249</v>
      </c>
      <c r="D81" t="s">
        <v>250</v>
      </c>
      <c r="E81" t="s">
        <v>136</v>
      </c>
      <c r="F81" t="s">
        <v>251</v>
      </c>
      <c r="G81" t="s">
        <v>252</v>
      </c>
      <c r="H81">
        <v>2</v>
      </c>
      <c r="I81" t="s">
        <v>253</v>
      </c>
      <c r="J81">
        <v>5</v>
      </c>
      <c r="K81" t="s">
        <v>262</v>
      </c>
      <c r="L81" t="s">
        <v>263</v>
      </c>
      <c r="M81" s="1">
        <f t="shared" si="1"/>
        <v>0</v>
      </c>
      <c r="N81" t="str" cm="1">
        <f t="array" ref="N81">_xlfn.SWITCH(M81,12,"Fix now",11,"Fix now",10,"Fix now",9,"Fix now",8,"Plan",7,"Plan",6,"Plan",5,"Plan",4,"Accept",3,"Accept",2,"Accept",1,"Accept",0,"Accept")</f>
        <v>Accept</v>
      </c>
      <c r="O81" s="5" t="s">
        <v>788</v>
      </c>
      <c r="P81" s="5" t="s">
        <v>899</v>
      </c>
      <c r="Q81" t="s">
        <v>802</v>
      </c>
      <c r="R81" s="5" t="s">
        <v>900</v>
      </c>
    </row>
    <row r="82" spans="1:18" ht="43.2" x14ac:dyDescent="0.3">
      <c r="A82" t="s">
        <v>247</v>
      </c>
      <c r="B82" t="s">
        <v>248</v>
      </c>
      <c r="C82" t="s">
        <v>264</v>
      </c>
      <c r="D82" t="s">
        <v>265</v>
      </c>
      <c r="E82" t="s">
        <v>136</v>
      </c>
      <c r="F82" t="s">
        <v>266</v>
      </c>
      <c r="G82" t="s">
        <v>267</v>
      </c>
      <c r="H82">
        <v>3</v>
      </c>
      <c r="I82" t="s">
        <v>268</v>
      </c>
      <c r="J82">
        <v>1</v>
      </c>
      <c r="K82" t="s">
        <v>269</v>
      </c>
      <c r="L82" t="s">
        <v>270</v>
      </c>
      <c r="M82" s="1">
        <f t="shared" si="1"/>
        <v>12</v>
      </c>
      <c r="N82" t="str" cm="1">
        <f t="array" ref="N82">_xlfn.SWITCH(M82,12,"Fix now",11,"Fix now",10,"Fix now",9,"Fix now",8,"Plan",7,"Plan",6,"Plan",5,"Plan",4,"Accept",3,"Accept",2,"Accept",1,"Accept",0,"Accept")</f>
        <v>Fix now</v>
      </c>
      <c r="O82" s="5" t="s">
        <v>792</v>
      </c>
      <c r="P82" s="5" t="s">
        <v>901</v>
      </c>
      <c r="Q82" t="s">
        <v>790</v>
      </c>
      <c r="R82" s="5" t="s">
        <v>902</v>
      </c>
    </row>
    <row r="83" spans="1:18" ht="43.2" x14ac:dyDescent="0.3">
      <c r="A83" t="s">
        <v>247</v>
      </c>
      <c r="B83" t="s">
        <v>248</v>
      </c>
      <c r="C83" t="s">
        <v>264</v>
      </c>
      <c r="D83" t="s">
        <v>265</v>
      </c>
      <c r="E83" t="s">
        <v>136</v>
      </c>
      <c r="F83" t="s">
        <v>266</v>
      </c>
      <c r="G83" t="s">
        <v>267</v>
      </c>
      <c r="H83">
        <v>3</v>
      </c>
      <c r="I83" t="s">
        <v>268</v>
      </c>
      <c r="J83">
        <v>2</v>
      </c>
      <c r="K83" t="s">
        <v>271</v>
      </c>
      <c r="L83" t="s">
        <v>272</v>
      </c>
      <c r="M83" s="1">
        <f t="shared" si="1"/>
        <v>9</v>
      </c>
      <c r="N83" t="str" cm="1">
        <f t="array" ref="N83">_xlfn.SWITCH(M83,12,"Fix now",11,"Fix now",10,"Fix now",9,"Fix now",8,"Plan",7,"Plan",6,"Plan",5,"Plan",4,"Accept",3,"Accept",2,"Accept",1,"Accept",0,"Accept")</f>
        <v>Fix now</v>
      </c>
      <c r="O83" s="5" t="s">
        <v>788</v>
      </c>
      <c r="P83" s="5" t="s">
        <v>903</v>
      </c>
      <c r="Q83" t="s">
        <v>794</v>
      </c>
      <c r="R83" s="5" t="s">
        <v>904</v>
      </c>
    </row>
    <row r="84" spans="1:18" ht="43.2" x14ac:dyDescent="0.3">
      <c r="A84" t="s">
        <v>247</v>
      </c>
      <c r="B84" t="s">
        <v>248</v>
      </c>
      <c r="C84" t="s">
        <v>264</v>
      </c>
      <c r="D84" t="s">
        <v>265</v>
      </c>
      <c r="E84" t="s">
        <v>136</v>
      </c>
      <c r="F84" t="s">
        <v>266</v>
      </c>
      <c r="G84" t="s">
        <v>267</v>
      </c>
      <c r="H84">
        <v>3</v>
      </c>
      <c r="I84" t="s">
        <v>268</v>
      </c>
      <c r="J84">
        <v>3</v>
      </c>
      <c r="K84" t="s">
        <v>273</v>
      </c>
      <c r="L84" t="s">
        <v>274</v>
      </c>
      <c r="M84" s="1">
        <f t="shared" si="1"/>
        <v>6</v>
      </c>
      <c r="N84" t="str" cm="1">
        <f t="array" ref="N84">_xlfn.SWITCH(M84,12,"Fix now",11,"Fix now",10,"Fix now",9,"Fix now",8,"Plan",7,"Plan",6,"Plan",5,"Plan",4,"Accept",3,"Accept",2,"Accept",1,"Accept",0,"Accept")</f>
        <v>Plan</v>
      </c>
      <c r="O84" s="5" t="s">
        <v>800</v>
      </c>
      <c r="P84" s="5" t="s">
        <v>905</v>
      </c>
      <c r="Q84" t="s">
        <v>798</v>
      </c>
      <c r="R84" s="5" t="s">
        <v>906</v>
      </c>
    </row>
    <row r="85" spans="1:18" ht="43.2" x14ac:dyDescent="0.3">
      <c r="A85" t="s">
        <v>247</v>
      </c>
      <c r="B85" t="s">
        <v>248</v>
      </c>
      <c r="C85" t="s">
        <v>264</v>
      </c>
      <c r="D85" t="s">
        <v>265</v>
      </c>
      <c r="E85" t="s">
        <v>136</v>
      </c>
      <c r="F85" t="s">
        <v>266</v>
      </c>
      <c r="G85" t="s">
        <v>267</v>
      </c>
      <c r="H85">
        <v>3</v>
      </c>
      <c r="I85" t="s">
        <v>268</v>
      </c>
      <c r="J85">
        <v>4</v>
      </c>
      <c r="K85" t="s">
        <v>275</v>
      </c>
      <c r="L85" t="s">
        <v>276</v>
      </c>
      <c r="M85" s="1">
        <f t="shared" si="1"/>
        <v>3</v>
      </c>
      <c r="N85" t="str" cm="1">
        <f t="array" ref="N85">_xlfn.SWITCH(M85,12,"Fix now",11,"Fix now",10,"Fix now",9,"Fix now",8,"Plan",7,"Plan",6,"Plan",5,"Plan",4,"Accept",3,"Accept",2,"Accept",1,"Accept",0,"Accept")</f>
        <v>Accept</v>
      </c>
      <c r="O85" s="5" t="s">
        <v>788</v>
      </c>
      <c r="P85" s="5" t="s">
        <v>907</v>
      </c>
      <c r="Q85" t="s">
        <v>802</v>
      </c>
      <c r="R85" s="5" t="s">
        <v>908</v>
      </c>
    </row>
    <row r="86" spans="1:18" ht="43.2" x14ac:dyDescent="0.3">
      <c r="A86" t="s">
        <v>247</v>
      </c>
      <c r="B86" t="s">
        <v>248</v>
      </c>
      <c r="C86" t="s">
        <v>264</v>
      </c>
      <c r="D86" t="s">
        <v>265</v>
      </c>
      <c r="E86" t="s">
        <v>136</v>
      </c>
      <c r="F86" t="s">
        <v>266</v>
      </c>
      <c r="G86" t="s">
        <v>267</v>
      </c>
      <c r="H86">
        <v>3</v>
      </c>
      <c r="I86" t="s">
        <v>268</v>
      </c>
      <c r="J86">
        <v>5</v>
      </c>
      <c r="K86" t="s">
        <v>277</v>
      </c>
      <c r="L86" t="s">
        <v>278</v>
      </c>
      <c r="M86" s="1">
        <f t="shared" si="1"/>
        <v>0</v>
      </c>
      <c r="N86" t="str" cm="1">
        <f t="array" ref="N86">_xlfn.SWITCH(M86,12,"Fix now",11,"Fix now",10,"Fix now",9,"Fix now",8,"Plan",7,"Plan",6,"Plan",5,"Plan",4,"Accept",3,"Accept",2,"Accept",1,"Accept",0,"Accept")</f>
        <v>Accept</v>
      </c>
      <c r="O86" s="5" t="s">
        <v>788</v>
      </c>
      <c r="P86" s="5" t="s">
        <v>907</v>
      </c>
      <c r="Q86" t="s">
        <v>802</v>
      </c>
      <c r="R86" s="5" t="s">
        <v>908</v>
      </c>
    </row>
    <row r="87" spans="1:18" ht="43.2" x14ac:dyDescent="0.3">
      <c r="A87" t="s">
        <v>247</v>
      </c>
      <c r="B87" t="s">
        <v>248</v>
      </c>
      <c r="C87" t="s">
        <v>279</v>
      </c>
      <c r="D87" t="s">
        <v>280</v>
      </c>
      <c r="E87" t="s">
        <v>136</v>
      </c>
      <c r="F87" t="s">
        <v>281</v>
      </c>
      <c r="G87" t="s">
        <v>282</v>
      </c>
      <c r="H87">
        <v>2</v>
      </c>
      <c r="I87" t="s">
        <v>283</v>
      </c>
      <c r="J87">
        <v>1</v>
      </c>
      <c r="K87" t="s">
        <v>284</v>
      </c>
      <c r="L87" t="s">
        <v>285</v>
      </c>
      <c r="M87" s="1">
        <f t="shared" si="1"/>
        <v>8</v>
      </c>
      <c r="N87" t="str" cm="1">
        <f t="array" ref="N87">_xlfn.SWITCH(M87,12,"Fix now",11,"Fix now",10,"Fix now",9,"Fix now",8,"Plan",7,"Plan",6,"Plan",5,"Plan",4,"Accept",3,"Accept",2,"Accept",1,"Accept",0,"Accept")</f>
        <v>Plan</v>
      </c>
      <c r="O87" s="5" t="s">
        <v>788</v>
      </c>
      <c r="P87" s="5" t="s">
        <v>909</v>
      </c>
      <c r="Q87" t="s">
        <v>794</v>
      </c>
      <c r="R87" s="5" t="s">
        <v>910</v>
      </c>
    </row>
    <row r="88" spans="1:18" ht="43.2" x14ac:dyDescent="0.3">
      <c r="A88" t="s">
        <v>247</v>
      </c>
      <c r="B88" t="s">
        <v>248</v>
      </c>
      <c r="C88" t="s">
        <v>279</v>
      </c>
      <c r="D88" t="s">
        <v>280</v>
      </c>
      <c r="E88" t="s">
        <v>136</v>
      </c>
      <c r="F88" t="s">
        <v>281</v>
      </c>
      <c r="G88" t="s">
        <v>282</v>
      </c>
      <c r="H88">
        <v>2</v>
      </c>
      <c r="I88" t="s">
        <v>283</v>
      </c>
      <c r="J88">
        <v>2</v>
      </c>
      <c r="K88" t="s">
        <v>286</v>
      </c>
      <c r="L88" t="s">
        <v>287</v>
      </c>
      <c r="M88" s="1">
        <f t="shared" si="1"/>
        <v>6</v>
      </c>
      <c r="N88" t="str" cm="1">
        <f t="array" ref="N88">_xlfn.SWITCH(M88,12,"Fix now",11,"Fix now",10,"Fix now",9,"Fix now",8,"Plan",7,"Plan",6,"Plan",5,"Plan",4,"Accept",3,"Accept",2,"Accept",1,"Accept",0,"Accept")</f>
        <v>Plan</v>
      </c>
      <c r="O88" s="5" t="s">
        <v>796</v>
      </c>
      <c r="P88" s="5" t="s">
        <v>911</v>
      </c>
      <c r="Q88" t="s">
        <v>798</v>
      </c>
      <c r="R88" s="5" t="s">
        <v>912</v>
      </c>
    </row>
    <row r="89" spans="1:18" ht="43.2" x14ac:dyDescent="0.3">
      <c r="A89" t="s">
        <v>247</v>
      </c>
      <c r="B89" t="s">
        <v>248</v>
      </c>
      <c r="C89" t="s">
        <v>279</v>
      </c>
      <c r="D89" t="s">
        <v>280</v>
      </c>
      <c r="E89" t="s">
        <v>136</v>
      </c>
      <c r="F89" t="s">
        <v>281</v>
      </c>
      <c r="G89" t="s">
        <v>282</v>
      </c>
      <c r="H89">
        <v>2</v>
      </c>
      <c r="I89" t="s">
        <v>283</v>
      </c>
      <c r="J89">
        <v>3</v>
      </c>
      <c r="K89" t="s">
        <v>288</v>
      </c>
      <c r="L89" t="s">
        <v>289</v>
      </c>
      <c r="M89" s="1">
        <f t="shared" si="1"/>
        <v>4</v>
      </c>
      <c r="N89" t="str" cm="1">
        <f t="array" ref="N89">_xlfn.SWITCH(M89,12,"Fix now",11,"Fix now",10,"Fix now",9,"Fix now",8,"Plan",7,"Plan",6,"Plan",5,"Plan",4,"Accept",3,"Accept",2,"Accept",1,"Accept",0,"Accept")</f>
        <v>Accept</v>
      </c>
      <c r="O89" s="5" t="s">
        <v>788</v>
      </c>
      <c r="P89" s="5" t="s">
        <v>911</v>
      </c>
      <c r="Q89" t="s">
        <v>798</v>
      </c>
      <c r="R89" s="5" t="s">
        <v>912</v>
      </c>
    </row>
    <row r="90" spans="1:18" ht="43.2" x14ac:dyDescent="0.3">
      <c r="A90" t="s">
        <v>247</v>
      </c>
      <c r="B90" t="s">
        <v>248</v>
      </c>
      <c r="C90" t="s">
        <v>279</v>
      </c>
      <c r="D90" t="s">
        <v>280</v>
      </c>
      <c r="E90" t="s">
        <v>136</v>
      </c>
      <c r="F90" t="s">
        <v>281</v>
      </c>
      <c r="G90" t="s">
        <v>282</v>
      </c>
      <c r="H90">
        <v>2</v>
      </c>
      <c r="I90" t="s">
        <v>283</v>
      </c>
      <c r="J90">
        <v>4</v>
      </c>
      <c r="K90" t="s">
        <v>290</v>
      </c>
      <c r="L90" t="s">
        <v>291</v>
      </c>
      <c r="M90" s="1">
        <f t="shared" si="1"/>
        <v>2</v>
      </c>
      <c r="N90" t="str" cm="1">
        <f t="array" ref="N90">_xlfn.SWITCH(M90,12,"Fix now",11,"Fix now",10,"Fix now",9,"Fix now",8,"Plan",7,"Plan",6,"Plan",5,"Plan",4,"Accept",3,"Accept",2,"Accept",1,"Accept",0,"Accept")</f>
        <v>Accept</v>
      </c>
      <c r="O90" s="5" t="s">
        <v>788</v>
      </c>
      <c r="P90" s="5" t="s">
        <v>913</v>
      </c>
      <c r="Q90" t="s">
        <v>802</v>
      </c>
      <c r="R90" s="5" t="s">
        <v>914</v>
      </c>
    </row>
    <row r="91" spans="1:18" ht="43.2" x14ac:dyDescent="0.3">
      <c r="A91" t="s">
        <v>247</v>
      </c>
      <c r="B91" t="s">
        <v>248</v>
      </c>
      <c r="C91" t="s">
        <v>279</v>
      </c>
      <c r="D91" t="s">
        <v>280</v>
      </c>
      <c r="E91" t="s">
        <v>136</v>
      </c>
      <c r="F91" t="s">
        <v>281</v>
      </c>
      <c r="G91" t="s">
        <v>282</v>
      </c>
      <c r="H91">
        <v>2</v>
      </c>
      <c r="I91" t="s">
        <v>283</v>
      </c>
      <c r="J91">
        <v>5</v>
      </c>
      <c r="K91" t="s">
        <v>292</v>
      </c>
      <c r="L91" t="s">
        <v>293</v>
      </c>
      <c r="M91" s="1">
        <f t="shared" si="1"/>
        <v>0</v>
      </c>
      <c r="N91" t="str" cm="1">
        <f t="array" ref="N91">_xlfn.SWITCH(M91,12,"Fix now",11,"Fix now",10,"Fix now",9,"Fix now",8,"Plan",7,"Plan",6,"Plan",5,"Plan",4,"Accept",3,"Accept",2,"Accept",1,"Accept",0,"Accept")</f>
        <v>Accept</v>
      </c>
      <c r="O91" s="5" t="s">
        <v>788</v>
      </c>
      <c r="P91" s="5" t="s">
        <v>913</v>
      </c>
      <c r="Q91" t="s">
        <v>802</v>
      </c>
      <c r="R91" s="5" t="s">
        <v>914</v>
      </c>
    </row>
    <row r="92" spans="1:18" ht="57.6" x14ac:dyDescent="0.3">
      <c r="A92" t="s">
        <v>247</v>
      </c>
      <c r="B92" t="s">
        <v>248</v>
      </c>
      <c r="C92" t="s">
        <v>294</v>
      </c>
      <c r="D92" t="s">
        <v>295</v>
      </c>
      <c r="E92" t="s">
        <v>136</v>
      </c>
      <c r="F92" t="s">
        <v>296</v>
      </c>
      <c r="G92" t="s">
        <v>297</v>
      </c>
      <c r="H92">
        <v>3</v>
      </c>
      <c r="I92" t="s">
        <v>298</v>
      </c>
      <c r="J92">
        <v>1</v>
      </c>
      <c r="K92" t="s">
        <v>299</v>
      </c>
      <c r="L92" t="s">
        <v>300</v>
      </c>
      <c r="M92" s="1">
        <f t="shared" si="1"/>
        <v>12</v>
      </c>
      <c r="N92" t="str" cm="1">
        <f t="array" ref="N92">_xlfn.SWITCH(M92,12,"Fix now",11,"Fix now",10,"Fix now",9,"Fix now",8,"Plan",7,"Plan",6,"Plan",5,"Plan",4,"Accept",3,"Accept",2,"Accept",1,"Accept",0,"Accept")</f>
        <v>Fix now</v>
      </c>
      <c r="O92" s="5" t="s">
        <v>788</v>
      </c>
      <c r="P92" s="5" t="s">
        <v>915</v>
      </c>
      <c r="Q92" t="s">
        <v>790</v>
      </c>
      <c r="R92" s="5" t="s">
        <v>916</v>
      </c>
    </row>
    <row r="93" spans="1:18" ht="43.2" x14ac:dyDescent="0.3">
      <c r="A93" t="s">
        <v>247</v>
      </c>
      <c r="B93" t="s">
        <v>248</v>
      </c>
      <c r="C93" t="s">
        <v>294</v>
      </c>
      <c r="D93" t="s">
        <v>295</v>
      </c>
      <c r="E93" t="s">
        <v>136</v>
      </c>
      <c r="F93" t="s">
        <v>296</v>
      </c>
      <c r="G93" t="s">
        <v>297</v>
      </c>
      <c r="H93">
        <v>3</v>
      </c>
      <c r="I93" t="s">
        <v>298</v>
      </c>
      <c r="J93">
        <v>2</v>
      </c>
      <c r="K93" t="s">
        <v>301</v>
      </c>
      <c r="L93" t="s">
        <v>302</v>
      </c>
      <c r="M93" s="1">
        <f t="shared" si="1"/>
        <v>9</v>
      </c>
      <c r="N93" t="str" cm="1">
        <f t="array" ref="N93">_xlfn.SWITCH(M93,12,"Fix now",11,"Fix now",10,"Fix now",9,"Fix now",8,"Plan",7,"Plan",6,"Plan",5,"Plan",4,"Accept",3,"Accept",2,"Accept",1,"Accept",0,"Accept")</f>
        <v>Fix now</v>
      </c>
      <c r="O93" s="5" t="s">
        <v>788</v>
      </c>
      <c r="P93" s="5" t="s">
        <v>917</v>
      </c>
      <c r="Q93" t="s">
        <v>794</v>
      </c>
      <c r="R93" s="5" t="s">
        <v>918</v>
      </c>
    </row>
    <row r="94" spans="1:18" ht="43.2" x14ac:dyDescent="0.3">
      <c r="A94" t="s">
        <v>247</v>
      </c>
      <c r="B94" t="s">
        <v>248</v>
      </c>
      <c r="C94" t="s">
        <v>294</v>
      </c>
      <c r="D94" t="s">
        <v>295</v>
      </c>
      <c r="E94" t="s">
        <v>136</v>
      </c>
      <c r="F94" t="s">
        <v>296</v>
      </c>
      <c r="G94" t="s">
        <v>297</v>
      </c>
      <c r="H94">
        <v>3</v>
      </c>
      <c r="I94" t="s">
        <v>298</v>
      </c>
      <c r="J94">
        <v>3</v>
      </c>
      <c r="K94" t="s">
        <v>303</v>
      </c>
      <c r="L94" t="s">
        <v>304</v>
      </c>
      <c r="M94" s="1">
        <f t="shared" si="1"/>
        <v>6</v>
      </c>
      <c r="N94" t="str" cm="1">
        <f t="array" ref="N94">_xlfn.SWITCH(M94,12,"Fix now",11,"Fix now",10,"Fix now",9,"Fix now",8,"Plan",7,"Plan",6,"Plan",5,"Plan",4,"Accept",3,"Accept",2,"Accept",1,"Accept",0,"Accept")</f>
        <v>Plan</v>
      </c>
      <c r="O94" s="5" t="s">
        <v>796</v>
      </c>
      <c r="P94" s="5" t="s">
        <v>919</v>
      </c>
      <c r="Q94" t="s">
        <v>798</v>
      </c>
      <c r="R94" s="5" t="s">
        <v>920</v>
      </c>
    </row>
    <row r="95" spans="1:18" ht="43.2" x14ac:dyDescent="0.3">
      <c r="A95" t="s">
        <v>247</v>
      </c>
      <c r="B95" t="s">
        <v>248</v>
      </c>
      <c r="C95" t="s">
        <v>294</v>
      </c>
      <c r="D95" t="s">
        <v>295</v>
      </c>
      <c r="E95" t="s">
        <v>136</v>
      </c>
      <c r="F95" t="s">
        <v>296</v>
      </c>
      <c r="G95" t="s">
        <v>297</v>
      </c>
      <c r="H95">
        <v>3</v>
      </c>
      <c r="I95" t="s">
        <v>298</v>
      </c>
      <c r="J95">
        <v>4</v>
      </c>
      <c r="K95" t="s">
        <v>305</v>
      </c>
      <c r="L95" t="s">
        <v>306</v>
      </c>
      <c r="M95" s="1">
        <f t="shared" si="1"/>
        <v>3</v>
      </c>
      <c r="N95" t="str" cm="1">
        <f t="array" ref="N95">_xlfn.SWITCH(M95,12,"Fix now",11,"Fix now",10,"Fix now",9,"Fix now",8,"Plan",7,"Plan",6,"Plan",5,"Plan",4,"Accept",3,"Accept",2,"Accept",1,"Accept",0,"Accept")</f>
        <v>Accept</v>
      </c>
      <c r="O95" s="5" t="s">
        <v>788</v>
      </c>
      <c r="P95" s="5" t="s">
        <v>921</v>
      </c>
      <c r="Q95" t="s">
        <v>802</v>
      </c>
      <c r="R95" s="5" t="s">
        <v>922</v>
      </c>
    </row>
    <row r="96" spans="1:18" ht="43.2" x14ac:dyDescent="0.3">
      <c r="A96" t="s">
        <v>247</v>
      </c>
      <c r="B96" t="s">
        <v>248</v>
      </c>
      <c r="C96" t="s">
        <v>294</v>
      </c>
      <c r="D96" t="s">
        <v>295</v>
      </c>
      <c r="E96" t="s">
        <v>136</v>
      </c>
      <c r="F96" t="s">
        <v>296</v>
      </c>
      <c r="G96" t="s">
        <v>297</v>
      </c>
      <c r="H96">
        <v>3</v>
      </c>
      <c r="I96" t="s">
        <v>298</v>
      </c>
      <c r="J96">
        <v>5</v>
      </c>
      <c r="K96" t="s">
        <v>307</v>
      </c>
      <c r="L96" t="s">
        <v>308</v>
      </c>
      <c r="M96" s="1">
        <f t="shared" si="1"/>
        <v>0</v>
      </c>
      <c r="N96" t="str" cm="1">
        <f t="array" ref="N96">_xlfn.SWITCH(M96,12,"Fix now",11,"Fix now",10,"Fix now",9,"Fix now",8,"Plan",7,"Plan",6,"Plan",5,"Plan",4,"Accept",3,"Accept",2,"Accept",1,"Accept",0,"Accept")</f>
        <v>Accept</v>
      </c>
      <c r="O96" s="5" t="s">
        <v>788</v>
      </c>
      <c r="P96" s="5" t="s">
        <v>921</v>
      </c>
      <c r="Q96" t="s">
        <v>802</v>
      </c>
      <c r="R96" s="5" t="s">
        <v>922</v>
      </c>
    </row>
    <row r="97" spans="1:18" ht="43.2" x14ac:dyDescent="0.3">
      <c r="A97" t="s">
        <v>247</v>
      </c>
      <c r="B97" t="s">
        <v>248</v>
      </c>
      <c r="C97" t="s">
        <v>309</v>
      </c>
      <c r="D97" t="s">
        <v>310</v>
      </c>
      <c r="E97" t="s">
        <v>136</v>
      </c>
      <c r="F97" t="s">
        <v>311</v>
      </c>
      <c r="G97" t="s">
        <v>312</v>
      </c>
      <c r="H97">
        <v>3</v>
      </c>
      <c r="I97" t="s">
        <v>313</v>
      </c>
      <c r="J97">
        <v>1</v>
      </c>
      <c r="K97" t="s">
        <v>314</v>
      </c>
      <c r="L97" t="s">
        <v>315</v>
      </c>
      <c r="M97" s="1">
        <f t="shared" si="1"/>
        <v>12</v>
      </c>
      <c r="N97" t="str" cm="1">
        <f t="array" ref="N97">_xlfn.SWITCH(M97,12,"Fix now",11,"Fix now",10,"Fix now",9,"Fix now",8,"Plan",7,"Plan",6,"Plan",5,"Plan",4,"Accept",3,"Accept",2,"Accept",1,"Accept",0,"Accept")</f>
        <v>Fix now</v>
      </c>
      <c r="O97" s="5" t="s">
        <v>788</v>
      </c>
      <c r="P97" s="5" t="s">
        <v>923</v>
      </c>
      <c r="Q97" t="s">
        <v>790</v>
      </c>
      <c r="R97" s="5" t="s">
        <v>924</v>
      </c>
    </row>
    <row r="98" spans="1:18" ht="43.2" x14ac:dyDescent="0.3">
      <c r="A98" t="s">
        <v>247</v>
      </c>
      <c r="B98" t="s">
        <v>248</v>
      </c>
      <c r="C98" t="s">
        <v>309</v>
      </c>
      <c r="D98" t="s">
        <v>310</v>
      </c>
      <c r="E98" t="s">
        <v>136</v>
      </c>
      <c r="F98" t="s">
        <v>311</v>
      </c>
      <c r="G98" t="s">
        <v>312</v>
      </c>
      <c r="H98">
        <v>3</v>
      </c>
      <c r="I98" t="s">
        <v>313</v>
      </c>
      <c r="J98">
        <v>2</v>
      </c>
      <c r="K98" t="s">
        <v>316</v>
      </c>
      <c r="L98" t="s">
        <v>317</v>
      </c>
      <c r="M98" s="1">
        <f t="shared" si="1"/>
        <v>9</v>
      </c>
      <c r="N98" t="str" cm="1">
        <f t="array" ref="N98">_xlfn.SWITCH(M98,12,"Fix now",11,"Fix now",10,"Fix now",9,"Fix now",8,"Plan",7,"Plan",6,"Plan",5,"Plan",4,"Accept",3,"Accept",2,"Accept",1,"Accept",0,"Accept")</f>
        <v>Fix now</v>
      </c>
      <c r="O98" s="5" t="s">
        <v>796</v>
      </c>
      <c r="P98" s="5" t="s">
        <v>925</v>
      </c>
      <c r="Q98" t="s">
        <v>794</v>
      </c>
      <c r="R98" s="5" t="s">
        <v>926</v>
      </c>
    </row>
    <row r="99" spans="1:18" ht="43.2" x14ac:dyDescent="0.3">
      <c r="A99" t="s">
        <v>247</v>
      </c>
      <c r="B99" t="s">
        <v>248</v>
      </c>
      <c r="C99" t="s">
        <v>309</v>
      </c>
      <c r="D99" t="s">
        <v>310</v>
      </c>
      <c r="E99" t="s">
        <v>136</v>
      </c>
      <c r="F99" t="s">
        <v>311</v>
      </c>
      <c r="G99" t="s">
        <v>312</v>
      </c>
      <c r="H99">
        <v>3</v>
      </c>
      <c r="I99" t="s">
        <v>313</v>
      </c>
      <c r="J99">
        <v>3</v>
      </c>
      <c r="K99" t="s">
        <v>318</v>
      </c>
      <c r="L99" t="s">
        <v>319</v>
      </c>
      <c r="M99" s="1">
        <f t="shared" si="1"/>
        <v>6</v>
      </c>
      <c r="N99" t="str" cm="1">
        <f t="array" ref="N99">_xlfn.SWITCH(M99,12,"Fix now",11,"Fix now",10,"Fix now",9,"Fix now",8,"Plan",7,"Plan",6,"Plan",5,"Plan",4,"Accept",3,"Accept",2,"Accept",1,"Accept",0,"Accept")</f>
        <v>Plan</v>
      </c>
      <c r="O99" s="5" t="s">
        <v>788</v>
      </c>
      <c r="P99" s="5" t="s">
        <v>927</v>
      </c>
      <c r="Q99" t="s">
        <v>798</v>
      </c>
      <c r="R99" s="5" t="s">
        <v>928</v>
      </c>
    </row>
    <row r="100" spans="1:18" ht="43.2" x14ac:dyDescent="0.3">
      <c r="A100" t="s">
        <v>247</v>
      </c>
      <c r="B100" t="s">
        <v>248</v>
      </c>
      <c r="C100" t="s">
        <v>309</v>
      </c>
      <c r="D100" t="s">
        <v>310</v>
      </c>
      <c r="E100" t="s">
        <v>136</v>
      </c>
      <c r="F100" t="s">
        <v>311</v>
      </c>
      <c r="G100" t="s">
        <v>312</v>
      </c>
      <c r="H100">
        <v>3</v>
      </c>
      <c r="I100" t="s">
        <v>313</v>
      </c>
      <c r="J100">
        <v>4</v>
      </c>
      <c r="K100" t="s">
        <v>320</v>
      </c>
      <c r="L100" t="s">
        <v>321</v>
      </c>
      <c r="M100" s="1">
        <f t="shared" si="1"/>
        <v>3</v>
      </c>
      <c r="N100" t="str" cm="1">
        <f t="array" ref="N100">_xlfn.SWITCH(M100,12,"Fix now",11,"Fix now",10,"Fix now",9,"Fix now",8,"Plan",7,"Plan",6,"Plan",5,"Plan",4,"Accept",3,"Accept",2,"Accept",1,"Accept",0,"Accept")</f>
        <v>Accept</v>
      </c>
      <c r="O100" s="5" t="s">
        <v>788</v>
      </c>
      <c r="P100" s="5" t="s">
        <v>929</v>
      </c>
      <c r="Q100" t="s">
        <v>802</v>
      </c>
      <c r="R100" s="5" t="s">
        <v>930</v>
      </c>
    </row>
    <row r="101" spans="1:18" ht="43.2" x14ac:dyDescent="0.3">
      <c r="A101" t="s">
        <v>247</v>
      </c>
      <c r="B101" t="s">
        <v>248</v>
      </c>
      <c r="C101" t="s">
        <v>309</v>
      </c>
      <c r="D101" t="s">
        <v>310</v>
      </c>
      <c r="E101" t="s">
        <v>136</v>
      </c>
      <c r="F101" t="s">
        <v>311</v>
      </c>
      <c r="G101" t="s">
        <v>312</v>
      </c>
      <c r="H101">
        <v>3</v>
      </c>
      <c r="I101" t="s">
        <v>313</v>
      </c>
      <c r="J101">
        <v>5</v>
      </c>
      <c r="K101" t="s">
        <v>322</v>
      </c>
      <c r="L101" t="s">
        <v>323</v>
      </c>
      <c r="M101" s="1">
        <f t="shared" si="1"/>
        <v>0</v>
      </c>
      <c r="N101" t="str" cm="1">
        <f t="array" ref="N101">_xlfn.SWITCH(M101,12,"Fix now",11,"Fix now",10,"Fix now",9,"Fix now",8,"Plan",7,"Plan",6,"Plan",5,"Plan",4,"Accept",3,"Accept",2,"Accept",1,"Accept",0,"Accept")</f>
        <v>Accept</v>
      </c>
      <c r="O101" s="5" t="s">
        <v>788</v>
      </c>
      <c r="P101" s="5" t="s">
        <v>929</v>
      </c>
      <c r="Q101" t="s">
        <v>802</v>
      </c>
      <c r="R101" s="5" t="s">
        <v>930</v>
      </c>
    </row>
    <row r="102" spans="1:18" ht="43.2" x14ac:dyDescent="0.3">
      <c r="A102" t="s">
        <v>324</v>
      </c>
      <c r="B102" t="s">
        <v>325</v>
      </c>
      <c r="C102" t="s">
        <v>326</v>
      </c>
      <c r="D102" t="s">
        <v>327</v>
      </c>
      <c r="E102" t="s">
        <v>173</v>
      </c>
      <c r="F102" t="s">
        <v>328</v>
      </c>
      <c r="G102" t="s">
        <v>329</v>
      </c>
      <c r="H102">
        <v>3</v>
      </c>
      <c r="I102" t="s">
        <v>330</v>
      </c>
      <c r="J102">
        <v>1</v>
      </c>
      <c r="K102" t="s">
        <v>331</v>
      </c>
      <c r="L102" t="s">
        <v>332</v>
      </c>
      <c r="M102" s="1">
        <f t="shared" si="1"/>
        <v>12</v>
      </c>
      <c r="N102" t="str" cm="1">
        <f t="array" ref="N102">_xlfn.SWITCH(M102,12,"Fix now",11,"Fix now",10,"Fix now",9,"Fix now",8,"Plan",7,"Plan",6,"Plan",5,"Plan",4,"Accept",3,"Accept",2,"Accept",1,"Accept",0,"Accept")</f>
        <v>Fix now</v>
      </c>
      <c r="O102" s="5" t="s">
        <v>788</v>
      </c>
      <c r="P102" s="5" t="s">
        <v>931</v>
      </c>
      <c r="Q102" t="s">
        <v>790</v>
      </c>
      <c r="R102" s="5" t="s">
        <v>932</v>
      </c>
    </row>
    <row r="103" spans="1:18" ht="43.2" x14ac:dyDescent="0.3">
      <c r="A103" t="s">
        <v>324</v>
      </c>
      <c r="B103" t="s">
        <v>325</v>
      </c>
      <c r="C103" t="s">
        <v>326</v>
      </c>
      <c r="D103" t="s">
        <v>327</v>
      </c>
      <c r="E103" t="s">
        <v>173</v>
      </c>
      <c r="F103" t="s">
        <v>328</v>
      </c>
      <c r="G103" t="s">
        <v>329</v>
      </c>
      <c r="H103">
        <v>3</v>
      </c>
      <c r="I103" t="s">
        <v>330</v>
      </c>
      <c r="J103">
        <v>2</v>
      </c>
      <c r="K103" t="s">
        <v>333</v>
      </c>
      <c r="L103" t="s">
        <v>334</v>
      </c>
      <c r="M103" s="1">
        <f t="shared" si="1"/>
        <v>9</v>
      </c>
      <c r="N103" t="str" cm="1">
        <f t="array" ref="N103">_xlfn.SWITCH(M103,12,"Fix now",11,"Fix now",10,"Fix now",9,"Fix now",8,"Plan",7,"Plan",6,"Plan",5,"Plan",4,"Accept",3,"Accept",2,"Accept",1,"Accept",0,"Accept")</f>
        <v>Fix now</v>
      </c>
      <c r="O103" s="5" t="s">
        <v>796</v>
      </c>
      <c r="P103" s="5" t="s">
        <v>933</v>
      </c>
      <c r="Q103" t="s">
        <v>794</v>
      </c>
      <c r="R103" s="5" t="s">
        <v>934</v>
      </c>
    </row>
    <row r="104" spans="1:18" ht="43.2" x14ac:dyDescent="0.3">
      <c r="A104" t="s">
        <v>324</v>
      </c>
      <c r="B104" t="s">
        <v>325</v>
      </c>
      <c r="C104" t="s">
        <v>326</v>
      </c>
      <c r="D104" t="s">
        <v>327</v>
      </c>
      <c r="E104" t="s">
        <v>173</v>
      </c>
      <c r="F104" t="s">
        <v>328</v>
      </c>
      <c r="G104" t="s">
        <v>329</v>
      </c>
      <c r="H104">
        <v>3</v>
      </c>
      <c r="I104" t="s">
        <v>330</v>
      </c>
      <c r="J104">
        <v>3</v>
      </c>
      <c r="K104" t="s">
        <v>335</v>
      </c>
      <c r="L104" t="s">
        <v>336</v>
      </c>
      <c r="M104" s="1">
        <f t="shared" si="1"/>
        <v>6</v>
      </c>
      <c r="N104" t="str" cm="1">
        <f t="array" ref="N104">_xlfn.SWITCH(M104,12,"Fix now",11,"Fix now",10,"Fix now",9,"Fix now",8,"Plan",7,"Plan",6,"Plan",5,"Plan",4,"Accept",3,"Accept",2,"Accept",1,"Accept",0,"Accept")</f>
        <v>Plan</v>
      </c>
      <c r="O104" s="5" t="s">
        <v>788</v>
      </c>
      <c r="P104" s="5" t="s">
        <v>935</v>
      </c>
      <c r="Q104" t="s">
        <v>798</v>
      </c>
      <c r="R104" s="5" t="s">
        <v>936</v>
      </c>
    </row>
    <row r="105" spans="1:18" ht="43.2" x14ac:dyDescent="0.3">
      <c r="A105" t="s">
        <v>324</v>
      </c>
      <c r="B105" t="s">
        <v>325</v>
      </c>
      <c r="C105" t="s">
        <v>326</v>
      </c>
      <c r="D105" t="s">
        <v>327</v>
      </c>
      <c r="E105" t="s">
        <v>173</v>
      </c>
      <c r="F105" t="s">
        <v>328</v>
      </c>
      <c r="G105" t="s">
        <v>329</v>
      </c>
      <c r="H105">
        <v>3</v>
      </c>
      <c r="I105" t="s">
        <v>330</v>
      </c>
      <c r="J105">
        <v>4</v>
      </c>
      <c r="K105" t="s">
        <v>337</v>
      </c>
      <c r="L105" t="s">
        <v>338</v>
      </c>
      <c r="M105" s="1">
        <f t="shared" si="1"/>
        <v>3</v>
      </c>
      <c r="N105" t="str" cm="1">
        <f t="array" ref="N105">_xlfn.SWITCH(M105,12,"Fix now",11,"Fix now",10,"Fix now",9,"Fix now",8,"Plan",7,"Plan",6,"Plan",5,"Plan",4,"Accept",3,"Accept",2,"Accept",1,"Accept",0,"Accept")</f>
        <v>Accept</v>
      </c>
      <c r="O105" s="5" t="s">
        <v>788</v>
      </c>
      <c r="P105" s="5" t="s">
        <v>937</v>
      </c>
      <c r="Q105" t="s">
        <v>802</v>
      </c>
      <c r="R105" s="5" t="s">
        <v>938</v>
      </c>
    </row>
    <row r="106" spans="1:18" ht="43.2" x14ac:dyDescent="0.3">
      <c r="A106" t="s">
        <v>324</v>
      </c>
      <c r="B106" t="s">
        <v>325</v>
      </c>
      <c r="C106" t="s">
        <v>326</v>
      </c>
      <c r="D106" t="s">
        <v>327</v>
      </c>
      <c r="E106" t="s">
        <v>173</v>
      </c>
      <c r="F106" t="s">
        <v>328</v>
      </c>
      <c r="G106" t="s">
        <v>329</v>
      </c>
      <c r="H106">
        <v>3</v>
      </c>
      <c r="I106" t="s">
        <v>330</v>
      </c>
      <c r="J106">
        <v>5</v>
      </c>
      <c r="K106" t="s">
        <v>339</v>
      </c>
      <c r="L106" t="s">
        <v>340</v>
      </c>
      <c r="M106" s="1">
        <f t="shared" si="1"/>
        <v>0</v>
      </c>
      <c r="N106" t="str" cm="1">
        <f t="array" ref="N106">_xlfn.SWITCH(M106,12,"Fix now",11,"Fix now",10,"Fix now",9,"Fix now",8,"Plan",7,"Plan",6,"Plan",5,"Plan",4,"Accept",3,"Accept",2,"Accept",1,"Accept",0,"Accept")</f>
        <v>Accept</v>
      </c>
      <c r="O106" s="5" t="s">
        <v>788</v>
      </c>
      <c r="P106" s="5" t="s">
        <v>937</v>
      </c>
      <c r="Q106" t="s">
        <v>802</v>
      </c>
      <c r="R106" s="5" t="s">
        <v>938</v>
      </c>
    </row>
    <row r="107" spans="1:18" ht="43.2" x14ac:dyDescent="0.3">
      <c r="A107" t="s">
        <v>324</v>
      </c>
      <c r="B107" t="s">
        <v>325</v>
      </c>
      <c r="C107" t="s">
        <v>341</v>
      </c>
      <c r="D107" t="s">
        <v>342</v>
      </c>
      <c r="E107" t="s">
        <v>173</v>
      </c>
      <c r="F107" t="s">
        <v>343</v>
      </c>
      <c r="G107" t="s">
        <v>344</v>
      </c>
      <c r="H107">
        <v>2</v>
      </c>
      <c r="I107" t="s">
        <v>345</v>
      </c>
      <c r="J107">
        <v>1</v>
      </c>
      <c r="K107" t="s">
        <v>346</v>
      </c>
      <c r="L107" t="s">
        <v>347</v>
      </c>
      <c r="M107" s="1">
        <f t="shared" si="1"/>
        <v>8</v>
      </c>
      <c r="N107" t="str" cm="1">
        <f t="array" ref="N107">_xlfn.SWITCH(M107,12,"Fix now",11,"Fix now",10,"Fix now",9,"Fix now",8,"Plan",7,"Plan",6,"Plan",5,"Plan",4,"Accept",3,"Accept",2,"Accept",1,"Accept",0,"Accept")</f>
        <v>Plan</v>
      </c>
      <c r="O107" s="5" t="s">
        <v>792</v>
      </c>
      <c r="P107" s="5" t="s">
        <v>939</v>
      </c>
      <c r="Q107" t="s">
        <v>794</v>
      </c>
      <c r="R107" s="5" t="s">
        <v>940</v>
      </c>
    </row>
    <row r="108" spans="1:18" ht="43.2" x14ac:dyDescent="0.3">
      <c r="A108" t="s">
        <v>324</v>
      </c>
      <c r="B108" t="s">
        <v>325</v>
      </c>
      <c r="C108" t="s">
        <v>341</v>
      </c>
      <c r="D108" t="s">
        <v>342</v>
      </c>
      <c r="E108" t="s">
        <v>173</v>
      </c>
      <c r="F108" t="s">
        <v>343</v>
      </c>
      <c r="G108" t="s">
        <v>344</v>
      </c>
      <c r="H108">
        <v>2</v>
      </c>
      <c r="I108" t="s">
        <v>345</v>
      </c>
      <c r="J108">
        <v>2</v>
      </c>
      <c r="K108" t="s">
        <v>348</v>
      </c>
      <c r="L108" t="s">
        <v>349</v>
      </c>
      <c r="M108" s="1">
        <f t="shared" si="1"/>
        <v>6</v>
      </c>
      <c r="N108" t="str" cm="1">
        <f t="array" ref="N108">_xlfn.SWITCH(M108,12,"Fix now",11,"Fix now",10,"Fix now",9,"Fix now",8,"Plan",7,"Plan",6,"Plan",5,"Plan",4,"Accept",3,"Accept",2,"Accept",1,"Accept",0,"Accept")</f>
        <v>Plan</v>
      </c>
      <c r="O108" s="5" t="s">
        <v>796</v>
      </c>
      <c r="P108" s="5" t="s">
        <v>941</v>
      </c>
      <c r="Q108" t="s">
        <v>798</v>
      </c>
      <c r="R108" s="5" t="s">
        <v>942</v>
      </c>
    </row>
    <row r="109" spans="1:18" ht="43.2" x14ac:dyDescent="0.3">
      <c r="A109" t="s">
        <v>324</v>
      </c>
      <c r="B109" t="s">
        <v>325</v>
      </c>
      <c r="C109" t="s">
        <v>341</v>
      </c>
      <c r="D109" t="s">
        <v>342</v>
      </c>
      <c r="E109" t="s">
        <v>173</v>
      </c>
      <c r="F109" t="s">
        <v>343</v>
      </c>
      <c r="G109" t="s">
        <v>344</v>
      </c>
      <c r="H109">
        <v>2</v>
      </c>
      <c r="I109" t="s">
        <v>345</v>
      </c>
      <c r="J109">
        <v>3</v>
      </c>
      <c r="K109" t="s">
        <v>350</v>
      </c>
      <c r="L109" t="s">
        <v>351</v>
      </c>
      <c r="M109" s="1">
        <f t="shared" si="1"/>
        <v>4</v>
      </c>
      <c r="N109" t="str" cm="1">
        <f t="array" ref="N109">_xlfn.SWITCH(M109,12,"Fix now",11,"Fix now",10,"Fix now",9,"Fix now",8,"Plan",7,"Plan",6,"Plan",5,"Plan",4,"Accept",3,"Accept",2,"Accept",1,"Accept",0,"Accept")</f>
        <v>Accept</v>
      </c>
      <c r="O109" s="5" t="s">
        <v>788</v>
      </c>
      <c r="P109" s="5" t="s">
        <v>941</v>
      </c>
      <c r="Q109" t="s">
        <v>798</v>
      </c>
      <c r="R109" s="5" t="s">
        <v>942</v>
      </c>
    </row>
    <row r="110" spans="1:18" ht="43.2" x14ac:dyDescent="0.3">
      <c r="A110" t="s">
        <v>324</v>
      </c>
      <c r="B110" t="s">
        <v>325</v>
      </c>
      <c r="C110" t="s">
        <v>341</v>
      </c>
      <c r="D110" t="s">
        <v>342</v>
      </c>
      <c r="E110" t="s">
        <v>173</v>
      </c>
      <c r="F110" t="s">
        <v>343</v>
      </c>
      <c r="G110" t="s">
        <v>344</v>
      </c>
      <c r="H110">
        <v>2</v>
      </c>
      <c r="I110" t="s">
        <v>345</v>
      </c>
      <c r="J110">
        <v>4</v>
      </c>
      <c r="K110" t="s">
        <v>352</v>
      </c>
      <c r="L110" t="s">
        <v>353</v>
      </c>
      <c r="M110" s="1">
        <f t="shared" si="1"/>
        <v>2</v>
      </c>
      <c r="N110" t="str" cm="1">
        <f t="array" ref="N110">_xlfn.SWITCH(M110,12,"Fix now",11,"Fix now",10,"Fix now",9,"Fix now",8,"Plan",7,"Plan",6,"Plan",5,"Plan",4,"Accept",3,"Accept",2,"Accept",1,"Accept",0,"Accept")</f>
        <v>Accept</v>
      </c>
      <c r="O110" s="5" t="s">
        <v>788</v>
      </c>
      <c r="P110" s="5" t="s">
        <v>943</v>
      </c>
      <c r="Q110" t="s">
        <v>802</v>
      </c>
      <c r="R110" s="5" t="s">
        <v>944</v>
      </c>
    </row>
    <row r="111" spans="1:18" ht="43.2" x14ac:dyDescent="0.3">
      <c r="A111" t="s">
        <v>324</v>
      </c>
      <c r="B111" t="s">
        <v>325</v>
      </c>
      <c r="C111" t="s">
        <v>341</v>
      </c>
      <c r="D111" t="s">
        <v>342</v>
      </c>
      <c r="E111" t="s">
        <v>173</v>
      </c>
      <c r="F111" t="s">
        <v>343</v>
      </c>
      <c r="G111" t="s">
        <v>344</v>
      </c>
      <c r="H111">
        <v>2</v>
      </c>
      <c r="I111" t="s">
        <v>345</v>
      </c>
      <c r="J111">
        <v>5</v>
      </c>
      <c r="K111" t="s">
        <v>354</v>
      </c>
      <c r="L111" t="s">
        <v>355</v>
      </c>
      <c r="M111" s="1">
        <f t="shared" si="1"/>
        <v>0</v>
      </c>
      <c r="N111" t="str" cm="1">
        <f t="array" ref="N111">_xlfn.SWITCH(M111,12,"Fix now",11,"Fix now",10,"Fix now",9,"Fix now",8,"Plan",7,"Plan",6,"Plan",5,"Plan",4,"Accept",3,"Accept",2,"Accept",1,"Accept",0,"Accept")</f>
        <v>Accept</v>
      </c>
      <c r="O111" s="5" t="s">
        <v>788</v>
      </c>
      <c r="P111" s="5" t="s">
        <v>943</v>
      </c>
      <c r="Q111" t="s">
        <v>802</v>
      </c>
      <c r="R111" s="5" t="s">
        <v>944</v>
      </c>
    </row>
    <row r="112" spans="1:18" ht="43.2" x14ac:dyDescent="0.3">
      <c r="A112" t="s">
        <v>324</v>
      </c>
      <c r="B112" t="s">
        <v>325</v>
      </c>
      <c r="C112" t="s">
        <v>356</v>
      </c>
      <c r="D112" t="s">
        <v>357</v>
      </c>
      <c r="E112" t="s">
        <v>173</v>
      </c>
      <c r="F112" t="s">
        <v>358</v>
      </c>
      <c r="G112" t="s">
        <v>359</v>
      </c>
      <c r="H112">
        <v>2</v>
      </c>
      <c r="I112" t="s">
        <v>360</v>
      </c>
      <c r="J112">
        <v>1</v>
      </c>
      <c r="K112" t="s">
        <v>361</v>
      </c>
      <c r="L112" t="s">
        <v>362</v>
      </c>
      <c r="M112" s="1">
        <f t="shared" si="1"/>
        <v>8</v>
      </c>
      <c r="N112" t="str" cm="1">
        <f t="array" ref="N112">_xlfn.SWITCH(M112,12,"Fix now",11,"Fix now",10,"Fix now",9,"Fix now",8,"Plan",7,"Plan",6,"Plan",5,"Plan",4,"Accept",3,"Accept",2,"Accept",1,"Accept",0,"Accept")</f>
        <v>Plan</v>
      </c>
      <c r="O112" s="5" t="s">
        <v>788</v>
      </c>
      <c r="P112" s="5" t="s">
        <v>945</v>
      </c>
      <c r="Q112" t="s">
        <v>794</v>
      </c>
      <c r="R112" s="5" t="s">
        <v>946</v>
      </c>
    </row>
    <row r="113" spans="1:18" ht="43.2" x14ac:dyDescent="0.3">
      <c r="A113" t="s">
        <v>324</v>
      </c>
      <c r="B113" t="s">
        <v>325</v>
      </c>
      <c r="C113" t="s">
        <v>356</v>
      </c>
      <c r="D113" t="s">
        <v>357</v>
      </c>
      <c r="E113" t="s">
        <v>173</v>
      </c>
      <c r="F113" t="s">
        <v>358</v>
      </c>
      <c r="G113" t="s">
        <v>359</v>
      </c>
      <c r="H113">
        <v>2</v>
      </c>
      <c r="I113" t="s">
        <v>360</v>
      </c>
      <c r="J113">
        <v>2</v>
      </c>
      <c r="K113" t="s">
        <v>363</v>
      </c>
      <c r="L113" t="s">
        <v>364</v>
      </c>
      <c r="M113" s="1">
        <f t="shared" si="1"/>
        <v>6</v>
      </c>
      <c r="N113" t="str" cm="1">
        <f t="array" ref="N113">_xlfn.SWITCH(M113,12,"Fix now",11,"Fix now",10,"Fix now",9,"Fix now",8,"Plan",7,"Plan",6,"Plan",5,"Plan",4,"Accept",3,"Accept",2,"Accept",1,"Accept",0,"Accept")</f>
        <v>Plan</v>
      </c>
      <c r="O113" s="5" t="s">
        <v>796</v>
      </c>
      <c r="P113" s="5" t="s">
        <v>947</v>
      </c>
      <c r="Q113" t="s">
        <v>798</v>
      </c>
      <c r="R113" s="5" t="s">
        <v>948</v>
      </c>
    </row>
    <row r="114" spans="1:18" ht="43.2" x14ac:dyDescent="0.3">
      <c r="A114" t="s">
        <v>324</v>
      </c>
      <c r="B114" t="s">
        <v>325</v>
      </c>
      <c r="C114" t="s">
        <v>356</v>
      </c>
      <c r="D114" t="s">
        <v>357</v>
      </c>
      <c r="E114" t="s">
        <v>173</v>
      </c>
      <c r="F114" t="s">
        <v>358</v>
      </c>
      <c r="G114" t="s">
        <v>359</v>
      </c>
      <c r="H114">
        <v>2</v>
      </c>
      <c r="I114" t="s">
        <v>360</v>
      </c>
      <c r="J114">
        <v>3</v>
      </c>
      <c r="K114" t="s">
        <v>365</v>
      </c>
      <c r="L114" t="s">
        <v>366</v>
      </c>
      <c r="M114" s="1">
        <f t="shared" si="1"/>
        <v>4</v>
      </c>
      <c r="N114" t="str" cm="1">
        <f t="array" ref="N114">_xlfn.SWITCH(M114,12,"Fix now",11,"Fix now",10,"Fix now",9,"Fix now",8,"Plan",7,"Plan",6,"Plan",5,"Plan",4,"Accept",3,"Accept",2,"Accept",1,"Accept",0,"Accept")</f>
        <v>Accept</v>
      </c>
      <c r="O114" s="5" t="s">
        <v>788</v>
      </c>
      <c r="P114" s="5" t="s">
        <v>947</v>
      </c>
      <c r="Q114" t="s">
        <v>798</v>
      </c>
      <c r="R114" s="5" t="s">
        <v>948</v>
      </c>
    </row>
    <row r="115" spans="1:18" ht="43.2" x14ac:dyDescent="0.3">
      <c r="A115" t="s">
        <v>324</v>
      </c>
      <c r="B115" t="s">
        <v>325</v>
      </c>
      <c r="C115" t="s">
        <v>356</v>
      </c>
      <c r="D115" t="s">
        <v>357</v>
      </c>
      <c r="E115" t="s">
        <v>173</v>
      </c>
      <c r="F115" t="s">
        <v>358</v>
      </c>
      <c r="G115" t="s">
        <v>359</v>
      </c>
      <c r="H115">
        <v>2</v>
      </c>
      <c r="I115" t="s">
        <v>360</v>
      </c>
      <c r="J115">
        <v>4</v>
      </c>
      <c r="K115" t="s">
        <v>367</v>
      </c>
      <c r="L115" t="s">
        <v>368</v>
      </c>
      <c r="M115" s="1">
        <f t="shared" si="1"/>
        <v>2</v>
      </c>
      <c r="N115" t="str" cm="1">
        <f t="array" ref="N115">_xlfn.SWITCH(M115,12,"Fix now",11,"Fix now",10,"Fix now",9,"Fix now",8,"Plan",7,"Plan",6,"Plan",5,"Plan",4,"Accept",3,"Accept",2,"Accept",1,"Accept",0,"Accept")</f>
        <v>Accept</v>
      </c>
      <c r="O115" s="5" t="s">
        <v>788</v>
      </c>
      <c r="P115" s="5" t="s">
        <v>949</v>
      </c>
      <c r="Q115" t="s">
        <v>802</v>
      </c>
      <c r="R115" s="5" t="s">
        <v>950</v>
      </c>
    </row>
    <row r="116" spans="1:18" ht="43.2" x14ac:dyDescent="0.3">
      <c r="A116" t="s">
        <v>324</v>
      </c>
      <c r="B116" t="s">
        <v>325</v>
      </c>
      <c r="C116" t="s">
        <v>356</v>
      </c>
      <c r="D116" t="s">
        <v>357</v>
      </c>
      <c r="E116" t="s">
        <v>173</v>
      </c>
      <c r="F116" t="s">
        <v>358</v>
      </c>
      <c r="G116" t="s">
        <v>359</v>
      </c>
      <c r="H116">
        <v>2</v>
      </c>
      <c r="I116" t="s">
        <v>360</v>
      </c>
      <c r="J116">
        <v>5</v>
      </c>
      <c r="K116" t="s">
        <v>369</v>
      </c>
      <c r="L116" t="s">
        <v>370</v>
      </c>
      <c r="M116" s="1">
        <f t="shared" si="1"/>
        <v>0</v>
      </c>
      <c r="N116" t="str" cm="1">
        <f t="array" ref="N116">_xlfn.SWITCH(M116,12,"Fix now",11,"Fix now",10,"Fix now",9,"Fix now",8,"Plan",7,"Plan",6,"Plan",5,"Plan",4,"Accept",3,"Accept",2,"Accept",1,"Accept",0,"Accept")</f>
        <v>Accept</v>
      </c>
      <c r="O116" s="5" t="s">
        <v>788</v>
      </c>
      <c r="P116" s="5" t="s">
        <v>949</v>
      </c>
      <c r="Q116" t="s">
        <v>802</v>
      </c>
      <c r="R116" s="5" t="s">
        <v>950</v>
      </c>
    </row>
    <row r="117" spans="1:18" ht="43.2" x14ac:dyDescent="0.3">
      <c r="A117" t="s">
        <v>324</v>
      </c>
      <c r="B117" t="s">
        <v>325</v>
      </c>
      <c r="C117" t="s">
        <v>371</v>
      </c>
      <c r="D117" t="s">
        <v>372</v>
      </c>
      <c r="E117" t="s">
        <v>173</v>
      </c>
      <c r="F117" t="s">
        <v>373</v>
      </c>
      <c r="G117" t="s">
        <v>374</v>
      </c>
      <c r="H117">
        <v>2</v>
      </c>
      <c r="I117" t="s">
        <v>375</v>
      </c>
      <c r="J117">
        <v>1</v>
      </c>
      <c r="K117" t="s">
        <v>376</v>
      </c>
      <c r="L117" t="s">
        <v>377</v>
      </c>
      <c r="M117" s="1">
        <f t="shared" si="1"/>
        <v>8</v>
      </c>
      <c r="N117" t="str" cm="1">
        <f t="array" ref="N117">_xlfn.SWITCH(M117,12,"Fix now",11,"Fix now",10,"Fix now",9,"Fix now",8,"Plan",7,"Plan",6,"Plan",5,"Plan",4,"Accept",3,"Accept",2,"Accept",1,"Accept",0,"Accept")</f>
        <v>Plan</v>
      </c>
      <c r="O117" s="5" t="s">
        <v>788</v>
      </c>
      <c r="P117" s="5" t="s">
        <v>951</v>
      </c>
      <c r="Q117" t="s">
        <v>794</v>
      </c>
      <c r="R117" s="5" t="s">
        <v>952</v>
      </c>
    </row>
    <row r="118" spans="1:18" ht="43.2" x14ac:dyDescent="0.3">
      <c r="A118" t="s">
        <v>324</v>
      </c>
      <c r="B118" t="s">
        <v>325</v>
      </c>
      <c r="C118" t="s">
        <v>371</v>
      </c>
      <c r="D118" t="s">
        <v>372</v>
      </c>
      <c r="E118" t="s">
        <v>173</v>
      </c>
      <c r="F118" t="s">
        <v>373</v>
      </c>
      <c r="G118" t="s">
        <v>374</v>
      </c>
      <c r="H118">
        <v>2</v>
      </c>
      <c r="I118" t="s">
        <v>375</v>
      </c>
      <c r="J118">
        <v>2</v>
      </c>
      <c r="K118" t="s">
        <v>378</v>
      </c>
      <c r="L118" t="s">
        <v>379</v>
      </c>
      <c r="M118" s="1">
        <f t="shared" si="1"/>
        <v>6</v>
      </c>
      <c r="N118" t="str" cm="1">
        <f t="array" ref="N118">_xlfn.SWITCH(M118,12,"Fix now",11,"Fix now",10,"Fix now",9,"Fix now",8,"Plan",7,"Plan",6,"Plan",5,"Plan",4,"Accept",3,"Accept",2,"Accept",1,"Accept",0,"Accept")</f>
        <v>Plan</v>
      </c>
      <c r="O118" s="5" t="s">
        <v>788</v>
      </c>
      <c r="P118" s="5" t="s">
        <v>953</v>
      </c>
      <c r="Q118" t="s">
        <v>798</v>
      </c>
      <c r="R118" s="5" t="s">
        <v>954</v>
      </c>
    </row>
    <row r="119" spans="1:18" ht="43.2" x14ac:dyDescent="0.3">
      <c r="A119" t="s">
        <v>324</v>
      </c>
      <c r="B119" t="s">
        <v>325</v>
      </c>
      <c r="C119" t="s">
        <v>371</v>
      </c>
      <c r="D119" t="s">
        <v>372</v>
      </c>
      <c r="E119" t="s">
        <v>173</v>
      </c>
      <c r="F119" t="s">
        <v>373</v>
      </c>
      <c r="G119" t="s">
        <v>374</v>
      </c>
      <c r="H119">
        <v>2</v>
      </c>
      <c r="I119" t="s">
        <v>375</v>
      </c>
      <c r="J119">
        <v>3</v>
      </c>
      <c r="K119" t="s">
        <v>380</v>
      </c>
      <c r="L119" t="s">
        <v>381</v>
      </c>
      <c r="M119" s="1">
        <f t="shared" si="1"/>
        <v>4</v>
      </c>
      <c r="N119" t="str" cm="1">
        <f t="array" ref="N119">_xlfn.SWITCH(M119,12,"Fix now",11,"Fix now",10,"Fix now",9,"Fix now",8,"Plan",7,"Plan",6,"Plan",5,"Plan",4,"Accept",3,"Accept",2,"Accept",1,"Accept",0,"Accept")</f>
        <v>Accept</v>
      </c>
      <c r="O119" s="5" t="s">
        <v>788</v>
      </c>
      <c r="P119" s="5" t="s">
        <v>953</v>
      </c>
      <c r="Q119" t="s">
        <v>798</v>
      </c>
      <c r="R119" s="5" t="s">
        <v>954</v>
      </c>
    </row>
    <row r="120" spans="1:18" ht="43.2" x14ac:dyDescent="0.3">
      <c r="A120" t="s">
        <v>324</v>
      </c>
      <c r="B120" t="s">
        <v>325</v>
      </c>
      <c r="C120" t="s">
        <v>371</v>
      </c>
      <c r="D120" t="s">
        <v>372</v>
      </c>
      <c r="E120" t="s">
        <v>173</v>
      </c>
      <c r="F120" t="s">
        <v>373</v>
      </c>
      <c r="G120" t="s">
        <v>374</v>
      </c>
      <c r="H120">
        <v>2</v>
      </c>
      <c r="I120" t="s">
        <v>375</v>
      </c>
      <c r="J120">
        <v>4</v>
      </c>
      <c r="K120" t="s">
        <v>382</v>
      </c>
      <c r="L120" t="s">
        <v>383</v>
      </c>
      <c r="M120" s="1">
        <f t="shared" si="1"/>
        <v>2</v>
      </c>
      <c r="N120" t="str" cm="1">
        <f t="array" ref="N120">_xlfn.SWITCH(M120,12,"Fix now",11,"Fix now",10,"Fix now",9,"Fix now",8,"Plan",7,"Plan",6,"Plan",5,"Plan",4,"Accept",3,"Accept",2,"Accept",1,"Accept",0,"Accept")</f>
        <v>Accept</v>
      </c>
      <c r="O120" s="5" t="s">
        <v>788</v>
      </c>
      <c r="P120" s="5" t="s">
        <v>955</v>
      </c>
      <c r="Q120" t="s">
        <v>802</v>
      </c>
      <c r="R120" s="5" t="s">
        <v>956</v>
      </c>
    </row>
    <row r="121" spans="1:18" ht="43.2" x14ac:dyDescent="0.3">
      <c r="A121" t="s">
        <v>324</v>
      </c>
      <c r="B121" t="s">
        <v>325</v>
      </c>
      <c r="C121" t="s">
        <v>371</v>
      </c>
      <c r="D121" t="s">
        <v>372</v>
      </c>
      <c r="E121" t="s">
        <v>173</v>
      </c>
      <c r="F121" t="s">
        <v>373</v>
      </c>
      <c r="G121" t="s">
        <v>374</v>
      </c>
      <c r="H121">
        <v>2</v>
      </c>
      <c r="I121" t="s">
        <v>375</v>
      </c>
      <c r="J121">
        <v>5</v>
      </c>
      <c r="K121" t="s">
        <v>384</v>
      </c>
      <c r="L121" t="s">
        <v>385</v>
      </c>
      <c r="M121" s="1">
        <f t="shared" si="1"/>
        <v>0</v>
      </c>
      <c r="N121" t="str" cm="1">
        <f t="array" ref="N121">_xlfn.SWITCH(M121,12,"Fix now",11,"Fix now",10,"Fix now",9,"Fix now",8,"Plan",7,"Plan",6,"Plan",5,"Plan",4,"Accept",3,"Accept",2,"Accept",1,"Accept",0,"Accept")</f>
        <v>Accept</v>
      </c>
      <c r="O121" s="5" t="s">
        <v>788</v>
      </c>
      <c r="P121" s="5" t="s">
        <v>955</v>
      </c>
      <c r="Q121" t="s">
        <v>802</v>
      </c>
      <c r="R121" s="5" t="s">
        <v>956</v>
      </c>
    </row>
    <row r="122" spans="1:18" ht="43.2" x14ac:dyDescent="0.3">
      <c r="A122" t="s">
        <v>324</v>
      </c>
      <c r="B122" t="s">
        <v>325</v>
      </c>
      <c r="C122" t="s">
        <v>386</v>
      </c>
      <c r="D122" t="s">
        <v>387</v>
      </c>
      <c r="E122" t="s">
        <v>173</v>
      </c>
      <c r="F122" t="s">
        <v>388</v>
      </c>
      <c r="G122" t="s">
        <v>389</v>
      </c>
      <c r="H122">
        <v>2</v>
      </c>
      <c r="I122" t="s">
        <v>390</v>
      </c>
      <c r="J122">
        <v>1</v>
      </c>
      <c r="K122" t="s">
        <v>391</v>
      </c>
      <c r="L122" t="s">
        <v>392</v>
      </c>
      <c r="M122" s="1">
        <f t="shared" si="1"/>
        <v>8</v>
      </c>
      <c r="N122" t="str" cm="1">
        <f t="array" ref="N122">_xlfn.SWITCH(M122,12,"Fix now",11,"Fix now",10,"Fix now",9,"Fix now",8,"Plan",7,"Plan",6,"Plan",5,"Plan",4,"Accept",3,"Accept",2,"Accept",1,"Accept",0,"Accept")</f>
        <v>Plan</v>
      </c>
      <c r="O122" s="5" t="s">
        <v>788</v>
      </c>
      <c r="P122" s="5" t="s">
        <v>957</v>
      </c>
      <c r="Q122" t="s">
        <v>794</v>
      </c>
      <c r="R122" s="5" t="s">
        <v>958</v>
      </c>
    </row>
    <row r="123" spans="1:18" ht="43.2" x14ac:dyDescent="0.3">
      <c r="A123" t="s">
        <v>324</v>
      </c>
      <c r="B123" t="s">
        <v>325</v>
      </c>
      <c r="C123" t="s">
        <v>386</v>
      </c>
      <c r="D123" t="s">
        <v>387</v>
      </c>
      <c r="E123" t="s">
        <v>173</v>
      </c>
      <c r="F123" t="s">
        <v>388</v>
      </c>
      <c r="G123" t="s">
        <v>389</v>
      </c>
      <c r="H123">
        <v>2</v>
      </c>
      <c r="I123" t="s">
        <v>390</v>
      </c>
      <c r="J123">
        <v>2</v>
      </c>
      <c r="K123" t="s">
        <v>393</v>
      </c>
      <c r="L123" t="s">
        <v>394</v>
      </c>
      <c r="M123" s="1">
        <f t="shared" si="1"/>
        <v>6</v>
      </c>
      <c r="N123" t="str" cm="1">
        <f t="array" ref="N123">_xlfn.SWITCH(M123,12,"Fix now",11,"Fix now",10,"Fix now",9,"Fix now",8,"Plan",7,"Plan",6,"Plan",5,"Plan",4,"Accept",3,"Accept",2,"Accept",1,"Accept",0,"Accept")</f>
        <v>Plan</v>
      </c>
      <c r="O123" s="5" t="s">
        <v>796</v>
      </c>
      <c r="P123" s="5" t="s">
        <v>959</v>
      </c>
      <c r="Q123" t="s">
        <v>798</v>
      </c>
      <c r="R123" s="5" t="s">
        <v>960</v>
      </c>
    </row>
    <row r="124" spans="1:18" ht="43.2" x14ac:dyDescent="0.3">
      <c r="A124" t="s">
        <v>324</v>
      </c>
      <c r="B124" t="s">
        <v>325</v>
      </c>
      <c r="C124" t="s">
        <v>386</v>
      </c>
      <c r="D124" t="s">
        <v>387</v>
      </c>
      <c r="E124" t="s">
        <v>173</v>
      </c>
      <c r="F124" t="s">
        <v>388</v>
      </c>
      <c r="G124" t="s">
        <v>389</v>
      </c>
      <c r="H124">
        <v>2</v>
      </c>
      <c r="I124" t="s">
        <v>390</v>
      </c>
      <c r="J124">
        <v>3</v>
      </c>
      <c r="K124" t="s">
        <v>395</v>
      </c>
      <c r="L124" t="s">
        <v>396</v>
      </c>
      <c r="M124" s="1">
        <f t="shared" si="1"/>
        <v>4</v>
      </c>
      <c r="N124" t="str" cm="1">
        <f t="array" ref="N124">_xlfn.SWITCH(M124,12,"Fix now",11,"Fix now",10,"Fix now",9,"Fix now",8,"Plan",7,"Plan",6,"Plan",5,"Plan",4,"Accept",3,"Accept",2,"Accept",1,"Accept",0,"Accept")</f>
        <v>Accept</v>
      </c>
      <c r="O124" s="5" t="s">
        <v>800</v>
      </c>
      <c r="P124" s="5" t="s">
        <v>959</v>
      </c>
      <c r="Q124" t="s">
        <v>798</v>
      </c>
      <c r="R124" s="5" t="s">
        <v>960</v>
      </c>
    </row>
    <row r="125" spans="1:18" ht="43.2" x14ac:dyDescent="0.3">
      <c r="A125" t="s">
        <v>324</v>
      </c>
      <c r="B125" t="s">
        <v>325</v>
      </c>
      <c r="C125" t="s">
        <v>386</v>
      </c>
      <c r="D125" t="s">
        <v>387</v>
      </c>
      <c r="E125" t="s">
        <v>173</v>
      </c>
      <c r="F125" t="s">
        <v>388</v>
      </c>
      <c r="G125" t="s">
        <v>389</v>
      </c>
      <c r="H125">
        <v>2</v>
      </c>
      <c r="I125" t="s">
        <v>390</v>
      </c>
      <c r="J125">
        <v>4</v>
      </c>
      <c r="K125" t="s">
        <v>397</v>
      </c>
      <c r="L125" t="s">
        <v>398</v>
      </c>
      <c r="M125" s="1">
        <f t="shared" si="1"/>
        <v>2</v>
      </c>
      <c r="N125" t="str" cm="1">
        <f t="array" ref="N125">_xlfn.SWITCH(M125,12,"Fix now",11,"Fix now",10,"Fix now",9,"Fix now",8,"Plan",7,"Plan",6,"Plan",5,"Plan",4,"Accept",3,"Accept",2,"Accept",1,"Accept",0,"Accept")</f>
        <v>Accept</v>
      </c>
      <c r="O125" s="5" t="s">
        <v>788</v>
      </c>
      <c r="P125" s="5" t="s">
        <v>961</v>
      </c>
      <c r="Q125" t="s">
        <v>802</v>
      </c>
      <c r="R125" s="5" t="s">
        <v>962</v>
      </c>
    </row>
    <row r="126" spans="1:18" ht="43.2" x14ac:dyDescent="0.3">
      <c r="A126" t="s">
        <v>324</v>
      </c>
      <c r="B126" t="s">
        <v>325</v>
      </c>
      <c r="C126" t="s">
        <v>386</v>
      </c>
      <c r="D126" t="s">
        <v>387</v>
      </c>
      <c r="E126" t="s">
        <v>173</v>
      </c>
      <c r="F126" t="s">
        <v>388</v>
      </c>
      <c r="G126" t="s">
        <v>389</v>
      </c>
      <c r="H126">
        <v>2</v>
      </c>
      <c r="I126" t="s">
        <v>390</v>
      </c>
      <c r="J126">
        <v>5</v>
      </c>
      <c r="K126" t="s">
        <v>399</v>
      </c>
      <c r="L126" t="s">
        <v>400</v>
      </c>
      <c r="M126" s="1">
        <f t="shared" si="1"/>
        <v>0</v>
      </c>
      <c r="N126" t="str" cm="1">
        <f t="array" ref="N126">_xlfn.SWITCH(M126,12,"Fix now",11,"Fix now",10,"Fix now",9,"Fix now",8,"Plan",7,"Plan",6,"Plan",5,"Plan",4,"Accept",3,"Accept",2,"Accept",1,"Accept",0,"Accept")</f>
        <v>Accept</v>
      </c>
      <c r="O126" s="5" t="s">
        <v>788</v>
      </c>
      <c r="P126" s="5" t="s">
        <v>961</v>
      </c>
      <c r="Q126" t="s">
        <v>802</v>
      </c>
      <c r="R126" s="5" t="s">
        <v>962</v>
      </c>
    </row>
    <row r="127" spans="1:18" ht="57.6" x14ac:dyDescent="0.3">
      <c r="A127" t="s">
        <v>401</v>
      </c>
      <c r="B127" t="s">
        <v>402</v>
      </c>
      <c r="C127" t="s">
        <v>403</v>
      </c>
      <c r="D127" t="s">
        <v>404</v>
      </c>
      <c r="E127" t="s">
        <v>136</v>
      </c>
      <c r="F127" t="s">
        <v>405</v>
      </c>
      <c r="G127" t="s">
        <v>406</v>
      </c>
      <c r="H127">
        <v>3</v>
      </c>
      <c r="I127" t="s">
        <v>407</v>
      </c>
      <c r="J127">
        <v>1</v>
      </c>
      <c r="K127" t="s">
        <v>408</v>
      </c>
      <c r="L127" t="s">
        <v>409</v>
      </c>
      <c r="M127" s="1">
        <f t="shared" si="1"/>
        <v>12</v>
      </c>
      <c r="N127" t="str" cm="1">
        <f t="array" ref="N127">_xlfn.SWITCH(M127,12,"Fix now",11,"Fix now",10,"Fix now",9,"Fix now",8,"Plan",7,"Plan",6,"Plan",5,"Plan",4,"Accept",3,"Accept",2,"Accept",1,"Accept",0,"Accept")</f>
        <v>Fix now</v>
      </c>
      <c r="O127" s="5" t="s">
        <v>788</v>
      </c>
      <c r="P127" s="5" t="s">
        <v>963</v>
      </c>
      <c r="Q127" t="s">
        <v>790</v>
      </c>
      <c r="R127" s="5" t="s">
        <v>964</v>
      </c>
    </row>
    <row r="128" spans="1:18" ht="43.2" x14ac:dyDescent="0.3">
      <c r="A128" t="s">
        <v>401</v>
      </c>
      <c r="B128" t="s">
        <v>402</v>
      </c>
      <c r="C128" t="s">
        <v>403</v>
      </c>
      <c r="D128" t="s">
        <v>404</v>
      </c>
      <c r="E128" t="s">
        <v>136</v>
      </c>
      <c r="F128" t="s">
        <v>405</v>
      </c>
      <c r="G128" t="s">
        <v>406</v>
      </c>
      <c r="H128">
        <v>3</v>
      </c>
      <c r="I128" t="s">
        <v>407</v>
      </c>
      <c r="J128">
        <v>2</v>
      </c>
      <c r="K128" t="s">
        <v>410</v>
      </c>
      <c r="L128" t="s">
        <v>411</v>
      </c>
      <c r="M128" s="1">
        <f t="shared" si="1"/>
        <v>9</v>
      </c>
      <c r="N128" t="str" cm="1">
        <f t="array" ref="N128">_xlfn.SWITCH(M128,12,"Fix now",11,"Fix now",10,"Fix now",9,"Fix now",8,"Plan",7,"Plan",6,"Plan",5,"Plan",4,"Accept",3,"Accept",2,"Accept",1,"Accept",0,"Accept")</f>
        <v>Fix now</v>
      </c>
      <c r="O128" s="5" t="s">
        <v>807</v>
      </c>
      <c r="P128" s="5" t="s">
        <v>965</v>
      </c>
      <c r="Q128" t="s">
        <v>794</v>
      </c>
      <c r="R128" s="5" t="s">
        <v>966</v>
      </c>
    </row>
    <row r="129" spans="1:18" ht="43.2" x14ac:dyDescent="0.3">
      <c r="A129" t="s">
        <v>401</v>
      </c>
      <c r="B129" t="s">
        <v>402</v>
      </c>
      <c r="C129" t="s">
        <v>403</v>
      </c>
      <c r="D129" t="s">
        <v>404</v>
      </c>
      <c r="E129" t="s">
        <v>136</v>
      </c>
      <c r="F129" t="s">
        <v>405</v>
      </c>
      <c r="G129" t="s">
        <v>406</v>
      </c>
      <c r="H129">
        <v>3</v>
      </c>
      <c r="I129" t="s">
        <v>407</v>
      </c>
      <c r="J129">
        <v>3</v>
      </c>
      <c r="K129" t="s">
        <v>412</v>
      </c>
      <c r="L129" t="s">
        <v>413</v>
      </c>
      <c r="M129" s="1">
        <f t="shared" si="1"/>
        <v>6</v>
      </c>
      <c r="N129" t="str" cm="1">
        <f t="array" ref="N129">_xlfn.SWITCH(M129,12,"Fix now",11,"Fix now",10,"Fix now",9,"Fix now",8,"Plan",7,"Plan",6,"Plan",5,"Plan",4,"Accept",3,"Accept",2,"Accept",1,"Accept",0,"Accept")</f>
        <v>Plan</v>
      </c>
      <c r="O129" s="5" t="s">
        <v>796</v>
      </c>
      <c r="P129" s="5" t="s">
        <v>967</v>
      </c>
      <c r="Q129" t="s">
        <v>798</v>
      </c>
      <c r="R129" s="5" t="s">
        <v>968</v>
      </c>
    </row>
    <row r="130" spans="1:18" ht="43.2" x14ac:dyDescent="0.3">
      <c r="A130" t="s">
        <v>401</v>
      </c>
      <c r="B130" t="s">
        <v>402</v>
      </c>
      <c r="C130" t="s">
        <v>403</v>
      </c>
      <c r="D130" t="s">
        <v>404</v>
      </c>
      <c r="E130" t="s">
        <v>136</v>
      </c>
      <c r="F130" t="s">
        <v>405</v>
      </c>
      <c r="G130" t="s">
        <v>406</v>
      </c>
      <c r="H130">
        <v>3</v>
      </c>
      <c r="I130" t="s">
        <v>407</v>
      </c>
      <c r="J130">
        <v>4</v>
      </c>
      <c r="K130" t="s">
        <v>414</v>
      </c>
      <c r="L130" t="s">
        <v>415</v>
      </c>
      <c r="M130" s="1">
        <f t="shared" si="1"/>
        <v>3</v>
      </c>
      <c r="N130" t="str" cm="1">
        <f t="array" ref="N130">_xlfn.SWITCH(M130,12,"Fix now",11,"Fix now",10,"Fix now",9,"Fix now",8,"Plan",7,"Plan",6,"Plan",5,"Plan",4,"Accept",3,"Accept",2,"Accept",1,"Accept",0,"Accept")</f>
        <v>Accept</v>
      </c>
      <c r="O130" s="5" t="s">
        <v>788</v>
      </c>
      <c r="P130" s="5" t="s">
        <v>969</v>
      </c>
      <c r="Q130" t="s">
        <v>802</v>
      </c>
      <c r="R130" s="5" t="s">
        <v>970</v>
      </c>
    </row>
    <row r="131" spans="1:18" ht="43.2" x14ac:dyDescent="0.3">
      <c r="A131" t="s">
        <v>401</v>
      </c>
      <c r="B131" t="s">
        <v>402</v>
      </c>
      <c r="C131" t="s">
        <v>403</v>
      </c>
      <c r="D131" t="s">
        <v>404</v>
      </c>
      <c r="E131" t="s">
        <v>136</v>
      </c>
      <c r="F131" t="s">
        <v>405</v>
      </c>
      <c r="G131" t="s">
        <v>406</v>
      </c>
      <c r="H131">
        <v>3</v>
      </c>
      <c r="I131" t="s">
        <v>407</v>
      </c>
      <c r="J131">
        <v>5</v>
      </c>
      <c r="K131" t="s">
        <v>416</v>
      </c>
      <c r="L131" t="s">
        <v>417</v>
      </c>
      <c r="M131" s="1">
        <f t="shared" ref="M131:M194" si="2">(5-$J131)*H131</f>
        <v>0</v>
      </c>
      <c r="N131" t="str" cm="1">
        <f t="array" ref="N131">_xlfn.SWITCH(M131,12,"Fix now",11,"Fix now",10,"Fix now",9,"Fix now",8,"Plan",7,"Plan",6,"Plan",5,"Plan",4,"Accept",3,"Accept",2,"Accept",1,"Accept",0,"Accept")</f>
        <v>Accept</v>
      </c>
      <c r="O131" s="5" t="s">
        <v>788</v>
      </c>
      <c r="P131" s="5" t="s">
        <v>969</v>
      </c>
      <c r="Q131" t="s">
        <v>802</v>
      </c>
      <c r="R131" s="5" t="s">
        <v>970</v>
      </c>
    </row>
    <row r="132" spans="1:18" ht="43.2" x14ac:dyDescent="0.3">
      <c r="A132" t="s">
        <v>401</v>
      </c>
      <c r="B132" t="s">
        <v>402</v>
      </c>
      <c r="C132" t="s">
        <v>418</v>
      </c>
      <c r="D132" t="s">
        <v>419</v>
      </c>
      <c r="E132" t="s">
        <v>136</v>
      </c>
      <c r="F132" t="s">
        <v>420</v>
      </c>
      <c r="G132" t="s">
        <v>421</v>
      </c>
      <c r="H132">
        <v>3</v>
      </c>
      <c r="I132" t="s">
        <v>422</v>
      </c>
      <c r="J132">
        <v>1</v>
      </c>
      <c r="K132" t="s">
        <v>423</v>
      </c>
      <c r="L132" t="s">
        <v>424</v>
      </c>
      <c r="M132" s="1">
        <f t="shared" si="2"/>
        <v>12</v>
      </c>
      <c r="N132" t="str" cm="1">
        <f t="array" ref="N132">_xlfn.SWITCH(M132,12,"Fix now",11,"Fix now",10,"Fix now",9,"Fix now",8,"Plan",7,"Plan",6,"Plan",5,"Plan",4,"Accept",3,"Accept",2,"Accept",1,"Accept",0,"Accept")</f>
        <v>Fix now</v>
      </c>
      <c r="O132" s="5" t="s">
        <v>788</v>
      </c>
      <c r="P132" s="5" t="s">
        <v>971</v>
      </c>
      <c r="Q132" t="s">
        <v>790</v>
      </c>
      <c r="R132" s="5" t="s">
        <v>972</v>
      </c>
    </row>
    <row r="133" spans="1:18" ht="43.2" x14ac:dyDescent="0.3">
      <c r="A133" t="s">
        <v>401</v>
      </c>
      <c r="B133" t="s">
        <v>402</v>
      </c>
      <c r="C133" t="s">
        <v>418</v>
      </c>
      <c r="D133" t="s">
        <v>419</v>
      </c>
      <c r="E133" t="s">
        <v>136</v>
      </c>
      <c r="F133" t="s">
        <v>420</v>
      </c>
      <c r="G133" t="s">
        <v>421</v>
      </c>
      <c r="H133">
        <v>3</v>
      </c>
      <c r="I133" t="s">
        <v>422</v>
      </c>
      <c r="J133">
        <v>2</v>
      </c>
      <c r="K133" t="s">
        <v>425</v>
      </c>
      <c r="L133" t="s">
        <v>426</v>
      </c>
      <c r="M133" s="1">
        <f t="shared" si="2"/>
        <v>9</v>
      </c>
      <c r="N133" t="str" cm="1">
        <f t="array" ref="N133">_xlfn.SWITCH(M133,12,"Fix now",11,"Fix now",10,"Fix now",9,"Fix now",8,"Plan",7,"Plan",6,"Plan",5,"Plan",4,"Accept",3,"Accept",2,"Accept",1,"Accept",0,"Accept")</f>
        <v>Fix now</v>
      </c>
      <c r="O133" s="5" t="s">
        <v>796</v>
      </c>
      <c r="P133" s="5" t="s">
        <v>973</v>
      </c>
      <c r="Q133" t="s">
        <v>794</v>
      </c>
      <c r="R133" s="5" t="s">
        <v>974</v>
      </c>
    </row>
    <row r="134" spans="1:18" ht="43.2" x14ac:dyDescent="0.3">
      <c r="A134" t="s">
        <v>401</v>
      </c>
      <c r="B134" t="s">
        <v>402</v>
      </c>
      <c r="C134" t="s">
        <v>418</v>
      </c>
      <c r="D134" t="s">
        <v>419</v>
      </c>
      <c r="E134" t="s">
        <v>136</v>
      </c>
      <c r="F134" t="s">
        <v>420</v>
      </c>
      <c r="G134" t="s">
        <v>421</v>
      </c>
      <c r="H134">
        <v>3</v>
      </c>
      <c r="I134" t="s">
        <v>422</v>
      </c>
      <c r="J134">
        <v>3</v>
      </c>
      <c r="K134" t="s">
        <v>427</v>
      </c>
      <c r="L134" t="s">
        <v>428</v>
      </c>
      <c r="M134" s="1">
        <f t="shared" si="2"/>
        <v>6</v>
      </c>
      <c r="N134" t="str" cm="1">
        <f t="array" ref="N134">_xlfn.SWITCH(M134,12,"Fix now",11,"Fix now",10,"Fix now",9,"Fix now",8,"Plan",7,"Plan",6,"Plan",5,"Plan",4,"Accept",3,"Accept",2,"Accept",1,"Accept",0,"Accept")</f>
        <v>Plan</v>
      </c>
      <c r="O134" s="5" t="s">
        <v>788</v>
      </c>
      <c r="P134" s="5" t="s">
        <v>975</v>
      </c>
      <c r="Q134" t="s">
        <v>798</v>
      </c>
      <c r="R134" s="5" t="s">
        <v>976</v>
      </c>
    </row>
    <row r="135" spans="1:18" ht="43.2" x14ac:dyDescent="0.3">
      <c r="A135" t="s">
        <v>401</v>
      </c>
      <c r="B135" t="s">
        <v>402</v>
      </c>
      <c r="C135" t="s">
        <v>418</v>
      </c>
      <c r="D135" t="s">
        <v>419</v>
      </c>
      <c r="E135" t="s">
        <v>136</v>
      </c>
      <c r="F135" t="s">
        <v>420</v>
      </c>
      <c r="G135" t="s">
        <v>421</v>
      </c>
      <c r="H135">
        <v>3</v>
      </c>
      <c r="I135" t="s">
        <v>422</v>
      </c>
      <c r="J135">
        <v>4</v>
      </c>
      <c r="K135" t="s">
        <v>429</v>
      </c>
      <c r="L135" t="s">
        <v>430</v>
      </c>
      <c r="M135" s="1">
        <f t="shared" si="2"/>
        <v>3</v>
      </c>
      <c r="N135" t="str" cm="1">
        <f t="array" ref="N135">_xlfn.SWITCH(M135,12,"Fix now",11,"Fix now",10,"Fix now",9,"Fix now",8,"Plan",7,"Plan",6,"Plan",5,"Plan",4,"Accept",3,"Accept",2,"Accept",1,"Accept",0,"Accept")</f>
        <v>Accept</v>
      </c>
      <c r="O135" s="5" t="s">
        <v>788</v>
      </c>
      <c r="P135" s="5" t="s">
        <v>977</v>
      </c>
      <c r="Q135" t="s">
        <v>802</v>
      </c>
      <c r="R135" s="5" t="s">
        <v>978</v>
      </c>
    </row>
    <row r="136" spans="1:18" ht="43.2" x14ac:dyDescent="0.3">
      <c r="A136" t="s">
        <v>401</v>
      </c>
      <c r="B136" t="s">
        <v>402</v>
      </c>
      <c r="C136" t="s">
        <v>418</v>
      </c>
      <c r="D136" t="s">
        <v>419</v>
      </c>
      <c r="E136" t="s">
        <v>136</v>
      </c>
      <c r="F136" t="s">
        <v>420</v>
      </c>
      <c r="G136" t="s">
        <v>421</v>
      </c>
      <c r="H136">
        <v>3</v>
      </c>
      <c r="I136" t="s">
        <v>422</v>
      </c>
      <c r="J136">
        <v>5</v>
      </c>
      <c r="K136" t="s">
        <v>431</v>
      </c>
      <c r="L136" t="s">
        <v>432</v>
      </c>
      <c r="M136" s="1">
        <f t="shared" si="2"/>
        <v>0</v>
      </c>
      <c r="N136" t="str" cm="1">
        <f t="array" ref="N136">_xlfn.SWITCH(M136,12,"Fix now",11,"Fix now",10,"Fix now",9,"Fix now",8,"Plan",7,"Plan",6,"Plan",5,"Plan",4,"Accept",3,"Accept",2,"Accept",1,"Accept",0,"Accept")</f>
        <v>Accept</v>
      </c>
      <c r="O136" s="5" t="s">
        <v>788</v>
      </c>
      <c r="P136" s="5" t="s">
        <v>977</v>
      </c>
      <c r="Q136" t="s">
        <v>802</v>
      </c>
      <c r="R136" s="5" t="s">
        <v>978</v>
      </c>
    </row>
    <row r="137" spans="1:18" ht="43.2" x14ac:dyDescent="0.3">
      <c r="A137" t="s">
        <v>401</v>
      </c>
      <c r="B137" t="s">
        <v>402</v>
      </c>
      <c r="C137" t="s">
        <v>433</v>
      </c>
      <c r="D137" t="s">
        <v>434</v>
      </c>
      <c r="E137" t="s">
        <v>136</v>
      </c>
      <c r="F137" t="s">
        <v>435</v>
      </c>
      <c r="G137" t="s">
        <v>436</v>
      </c>
      <c r="H137">
        <v>2</v>
      </c>
      <c r="I137" t="s">
        <v>437</v>
      </c>
      <c r="J137">
        <v>1</v>
      </c>
      <c r="K137" t="s">
        <v>438</v>
      </c>
      <c r="L137" t="s">
        <v>439</v>
      </c>
      <c r="M137" s="1">
        <f t="shared" si="2"/>
        <v>8</v>
      </c>
      <c r="N137" t="str" cm="1">
        <f t="array" ref="N137">_xlfn.SWITCH(M137,12,"Fix now",11,"Fix now",10,"Fix now",9,"Fix now",8,"Plan",7,"Plan",6,"Plan",5,"Plan",4,"Accept",3,"Accept",2,"Accept",1,"Accept",0,"Accept")</f>
        <v>Plan</v>
      </c>
      <c r="O137" s="5" t="s">
        <v>788</v>
      </c>
      <c r="P137" s="5" t="s">
        <v>979</v>
      </c>
      <c r="Q137" t="s">
        <v>794</v>
      </c>
      <c r="R137" s="5" t="s">
        <v>980</v>
      </c>
    </row>
    <row r="138" spans="1:18" ht="43.2" x14ac:dyDescent="0.3">
      <c r="A138" t="s">
        <v>401</v>
      </c>
      <c r="B138" t="s">
        <v>402</v>
      </c>
      <c r="C138" t="s">
        <v>433</v>
      </c>
      <c r="D138" t="s">
        <v>434</v>
      </c>
      <c r="E138" t="s">
        <v>136</v>
      </c>
      <c r="F138" t="s">
        <v>435</v>
      </c>
      <c r="G138" t="s">
        <v>436</v>
      </c>
      <c r="H138">
        <v>2</v>
      </c>
      <c r="I138" t="s">
        <v>437</v>
      </c>
      <c r="J138">
        <v>2</v>
      </c>
      <c r="K138" t="s">
        <v>440</v>
      </c>
      <c r="L138" t="s">
        <v>441</v>
      </c>
      <c r="M138" s="1">
        <f t="shared" si="2"/>
        <v>6</v>
      </c>
      <c r="N138" t="str" cm="1">
        <f t="array" ref="N138">_xlfn.SWITCH(M138,12,"Fix now",11,"Fix now",10,"Fix now",9,"Fix now",8,"Plan",7,"Plan",6,"Plan",5,"Plan",4,"Accept",3,"Accept",2,"Accept",1,"Accept",0,"Accept")</f>
        <v>Plan</v>
      </c>
      <c r="O138" s="5" t="s">
        <v>792</v>
      </c>
      <c r="P138" s="5" t="s">
        <v>981</v>
      </c>
      <c r="Q138" t="s">
        <v>798</v>
      </c>
      <c r="R138" s="5" t="s">
        <v>982</v>
      </c>
    </row>
    <row r="139" spans="1:18" ht="43.2" x14ac:dyDescent="0.3">
      <c r="A139" t="s">
        <v>401</v>
      </c>
      <c r="B139" t="s">
        <v>402</v>
      </c>
      <c r="C139" t="s">
        <v>433</v>
      </c>
      <c r="D139" t="s">
        <v>434</v>
      </c>
      <c r="E139" t="s">
        <v>136</v>
      </c>
      <c r="F139" t="s">
        <v>435</v>
      </c>
      <c r="G139" t="s">
        <v>436</v>
      </c>
      <c r="H139">
        <v>2</v>
      </c>
      <c r="I139" t="s">
        <v>437</v>
      </c>
      <c r="J139">
        <v>3</v>
      </c>
      <c r="K139" t="s">
        <v>442</v>
      </c>
      <c r="L139" t="s">
        <v>443</v>
      </c>
      <c r="M139" s="1">
        <f t="shared" si="2"/>
        <v>4</v>
      </c>
      <c r="N139" t="str" cm="1">
        <f t="array" ref="N139">_xlfn.SWITCH(M139,12,"Fix now",11,"Fix now",10,"Fix now",9,"Fix now",8,"Plan",7,"Plan",6,"Plan",5,"Plan",4,"Accept",3,"Accept",2,"Accept",1,"Accept",0,"Accept")</f>
        <v>Accept</v>
      </c>
      <c r="O139" s="5" t="s">
        <v>788</v>
      </c>
      <c r="P139" s="5" t="s">
        <v>981</v>
      </c>
      <c r="Q139" t="s">
        <v>798</v>
      </c>
      <c r="R139" s="5" t="s">
        <v>982</v>
      </c>
    </row>
    <row r="140" spans="1:18" ht="43.2" x14ac:dyDescent="0.3">
      <c r="A140" t="s">
        <v>401</v>
      </c>
      <c r="B140" t="s">
        <v>402</v>
      </c>
      <c r="C140" t="s">
        <v>433</v>
      </c>
      <c r="D140" t="s">
        <v>434</v>
      </c>
      <c r="E140" t="s">
        <v>136</v>
      </c>
      <c r="F140" t="s">
        <v>435</v>
      </c>
      <c r="G140" t="s">
        <v>436</v>
      </c>
      <c r="H140">
        <v>2</v>
      </c>
      <c r="I140" t="s">
        <v>437</v>
      </c>
      <c r="J140">
        <v>4</v>
      </c>
      <c r="K140" t="s">
        <v>444</v>
      </c>
      <c r="L140" t="s">
        <v>445</v>
      </c>
      <c r="M140" s="1">
        <f t="shared" si="2"/>
        <v>2</v>
      </c>
      <c r="N140" t="str" cm="1">
        <f t="array" ref="N140">_xlfn.SWITCH(M140,12,"Fix now",11,"Fix now",10,"Fix now",9,"Fix now",8,"Plan",7,"Plan",6,"Plan",5,"Plan",4,"Accept",3,"Accept",2,"Accept",1,"Accept",0,"Accept")</f>
        <v>Accept</v>
      </c>
      <c r="O140" s="5" t="s">
        <v>788</v>
      </c>
      <c r="P140" s="5" t="s">
        <v>983</v>
      </c>
      <c r="Q140" t="s">
        <v>802</v>
      </c>
      <c r="R140" s="5" t="s">
        <v>984</v>
      </c>
    </row>
    <row r="141" spans="1:18" ht="43.2" x14ac:dyDescent="0.3">
      <c r="A141" t="s">
        <v>401</v>
      </c>
      <c r="B141" t="s">
        <v>402</v>
      </c>
      <c r="C141" t="s">
        <v>433</v>
      </c>
      <c r="D141" t="s">
        <v>434</v>
      </c>
      <c r="E141" t="s">
        <v>136</v>
      </c>
      <c r="F141" t="s">
        <v>435</v>
      </c>
      <c r="G141" t="s">
        <v>436</v>
      </c>
      <c r="H141">
        <v>2</v>
      </c>
      <c r="I141" t="s">
        <v>437</v>
      </c>
      <c r="J141">
        <v>5</v>
      </c>
      <c r="K141" t="s">
        <v>446</v>
      </c>
      <c r="L141" t="s">
        <v>447</v>
      </c>
      <c r="M141" s="1">
        <f t="shared" si="2"/>
        <v>0</v>
      </c>
      <c r="N141" t="str" cm="1">
        <f t="array" ref="N141">_xlfn.SWITCH(M141,12,"Fix now",11,"Fix now",10,"Fix now",9,"Fix now",8,"Plan",7,"Plan",6,"Plan",5,"Plan",4,"Accept",3,"Accept",2,"Accept",1,"Accept",0,"Accept")</f>
        <v>Accept</v>
      </c>
      <c r="O141" s="5" t="s">
        <v>788</v>
      </c>
      <c r="P141" s="5" t="s">
        <v>983</v>
      </c>
      <c r="Q141" t="s">
        <v>802</v>
      </c>
      <c r="R141" s="5" t="s">
        <v>984</v>
      </c>
    </row>
    <row r="142" spans="1:18" ht="43.2" x14ac:dyDescent="0.3">
      <c r="A142" t="s">
        <v>401</v>
      </c>
      <c r="B142" t="s">
        <v>402</v>
      </c>
      <c r="C142" t="s">
        <v>448</v>
      </c>
      <c r="D142" t="s">
        <v>449</v>
      </c>
      <c r="E142" t="s">
        <v>136</v>
      </c>
      <c r="F142" t="s">
        <v>450</v>
      </c>
      <c r="G142" t="s">
        <v>451</v>
      </c>
      <c r="H142">
        <v>2</v>
      </c>
      <c r="I142" t="s">
        <v>452</v>
      </c>
      <c r="J142">
        <v>1</v>
      </c>
      <c r="K142" t="s">
        <v>453</v>
      </c>
      <c r="L142" t="s">
        <v>454</v>
      </c>
      <c r="M142" s="1">
        <f t="shared" si="2"/>
        <v>8</v>
      </c>
      <c r="N142" t="str" cm="1">
        <f t="array" ref="N142">_xlfn.SWITCH(M142,12,"Fix now",11,"Fix now",10,"Fix now",9,"Fix now",8,"Plan",7,"Plan",6,"Plan",5,"Plan",4,"Accept",3,"Accept",2,"Accept",1,"Accept",0,"Accept")</f>
        <v>Plan</v>
      </c>
      <c r="O142" s="5" t="s">
        <v>792</v>
      </c>
      <c r="P142" s="5" t="s">
        <v>985</v>
      </c>
      <c r="Q142" t="s">
        <v>794</v>
      </c>
      <c r="R142" s="5" t="s">
        <v>986</v>
      </c>
    </row>
    <row r="143" spans="1:18" ht="43.2" x14ac:dyDescent="0.3">
      <c r="A143" t="s">
        <v>401</v>
      </c>
      <c r="B143" t="s">
        <v>402</v>
      </c>
      <c r="C143" t="s">
        <v>448</v>
      </c>
      <c r="D143" t="s">
        <v>449</v>
      </c>
      <c r="E143" t="s">
        <v>136</v>
      </c>
      <c r="F143" t="s">
        <v>450</v>
      </c>
      <c r="G143" t="s">
        <v>451</v>
      </c>
      <c r="H143">
        <v>2</v>
      </c>
      <c r="I143" t="s">
        <v>452</v>
      </c>
      <c r="J143">
        <v>2</v>
      </c>
      <c r="K143" t="s">
        <v>455</v>
      </c>
      <c r="L143" t="s">
        <v>456</v>
      </c>
      <c r="M143" s="1">
        <f t="shared" si="2"/>
        <v>6</v>
      </c>
      <c r="N143" t="str" cm="1">
        <f t="array" ref="N143">_xlfn.SWITCH(M143,12,"Fix now",11,"Fix now",10,"Fix now",9,"Fix now",8,"Plan",7,"Plan",6,"Plan",5,"Plan",4,"Accept",3,"Accept",2,"Accept",1,"Accept",0,"Accept")</f>
        <v>Plan</v>
      </c>
      <c r="O143" s="5" t="s">
        <v>788</v>
      </c>
      <c r="P143" s="5" t="s">
        <v>987</v>
      </c>
      <c r="Q143" t="s">
        <v>798</v>
      </c>
      <c r="R143" s="5" t="s">
        <v>988</v>
      </c>
    </row>
    <row r="144" spans="1:18" ht="43.2" x14ac:dyDescent="0.3">
      <c r="A144" t="s">
        <v>401</v>
      </c>
      <c r="B144" t="s">
        <v>402</v>
      </c>
      <c r="C144" t="s">
        <v>448</v>
      </c>
      <c r="D144" t="s">
        <v>449</v>
      </c>
      <c r="E144" t="s">
        <v>136</v>
      </c>
      <c r="F144" t="s">
        <v>450</v>
      </c>
      <c r="G144" t="s">
        <v>451</v>
      </c>
      <c r="H144">
        <v>2</v>
      </c>
      <c r="I144" t="s">
        <v>452</v>
      </c>
      <c r="J144">
        <v>3</v>
      </c>
      <c r="K144" t="s">
        <v>457</v>
      </c>
      <c r="L144" t="s">
        <v>458</v>
      </c>
      <c r="M144" s="1">
        <f t="shared" si="2"/>
        <v>4</v>
      </c>
      <c r="N144" t="str" cm="1">
        <f t="array" ref="N144">_xlfn.SWITCH(M144,12,"Fix now",11,"Fix now",10,"Fix now",9,"Fix now",8,"Plan",7,"Plan",6,"Plan",5,"Plan",4,"Accept",3,"Accept",2,"Accept",1,"Accept",0,"Accept")</f>
        <v>Accept</v>
      </c>
      <c r="O144" s="5" t="s">
        <v>796</v>
      </c>
      <c r="P144" s="5" t="s">
        <v>987</v>
      </c>
      <c r="Q144" t="s">
        <v>798</v>
      </c>
      <c r="R144" s="5" t="s">
        <v>988</v>
      </c>
    </row>
    <row r="145" spans="1:18" ht="43.2" x14ac:dyDescent="0.3">
      <c r="A145" t="s">
        <v>401</v>
      </c>
      <c r="B145" t="s">
        <v>402</v>
      </c>
      <c r="C145" t="s">
        <v>448</v>
      </c>
      <c r="D145" t="s">
        <v>449</v>
      </c>
      <c r="E145" t="s">
        <v>136</v>
      </c>
      <c r="F145" t="s">
        <v>450</v>
      </c>
      <c r="G145" t="s">
        <v>451</v>
      </c>
      <c r="H145">
        <v>2</v>
      </c>
      <c r="I145" t="s">
        <v>452</v>
      </c>
      <c r="J145">
        <v>4</v>
      </c>
      <c r="K145" t="s">
        <v>459</v>
      </c>
      <c r="L145" t="s">
        <v>460</v>
      </c>
      <c r="M145" s="1">
        <f t="shared" si="2"/>
        <v>2</v>
      </c>
      <c r="N145" t="str" cm="1">
        <f t="array" ref="N145">_xlfn.SWITCH(M145,12,"Fix now",11,"Fix now",10,"Fix now",9,"Fix now",8,"Plan",7,"Plan",6,"Plan",5,"Plan",4,"Accept",3,"Accept",2,"Accept",1,"Accept",0,"Accept")</f>
        <v>Accept</v>
      </c>
      <c r="O145" s="5" t="s">
        <v>788</v>
      </c>
      <c r="P145" s="5" t="s">
        <v>989</v>
      </c>
      <c r="Q145" t="s">
        <v>802</v>
      </c>
      <c r="R145" s="5" t="s">
        <v>990</v>
      </c>
    </row>
    <row r="146" spans="1:18" ht="43.2" x14ac:dyDescent="0.3">
      <c r="A146" t="s">
        <v>401</v>
      </c>
      <c r="B146" t="s">
        <v>402</v>
      </c>
      <c r="C146" t="s">
        <v>448</v>
      </c>
      <c r="D146" t="s">
        <v>449</v>
      </c>
      <c r="E146" t="s">
        <v>136</v>
      </c>
      <c r="F146" t="s">
        <v>450</v>
      </c>
      <c r="G146" t="s">
        <v>451</v>
      </c>
      <c r="H146">
        <v>2</v>
      </c>
      <c r="I146" t="s">
        <v>452</v>
      </c>
      <c r="J146">
        <v>5</v>
      </c>
      <c r="K146" t="s">
        <v>461</v>
      </c>
      <c r="L146" t="s">
        <v>462</v>
      </c>
      <c r="M146" s="1">
        <f t="shared" si="2"/>
        <v>0</v>
      </c>
      <c r="N146" t="str" cm="1">
        <f t="array" ref="N146">_xlfn.SWITCH(M146,12,"Fix now",11,"Fix now",10,"Fix now",9,"Fix now",8,"Plan",7,"Plan",6,"Plan",5,"Plan",4,"Accept",3,"Accept",2,"Accept",1,"Accept",0,"Accept")</f>
        <v>Accept</v>
      </c>
      <c r="O146" s="5" t="s">
        <v>788</v>
      </c>
      <c r="P146" s="5" t="s">
        <v>989</v>
      </c>
      <c r="Q146" t="s">
        <v>802</v>
      </c>
      <c r="R146" s="5" t="s">
        <v>990</v>
      </c>
    </row>
    <row r="147" spans="1:18" ht="43.2" x14ac:dyDescent="0.3">
      <c r="A147" t="s">
        <v>401</v>
      </c>
      <c r="B147" t="s">
        <v>402</v>
      </c>
      <c r="C147" t="s">
        <v>463</v>
      </c>
      <c r="D147" t="s">
        <v>464</v>
      </c>
      <c r="E147" t="s">
        <v>136</v>
      </c>
      <c r="F147" t="s">
        <v>465</v>
      </c>
      <c r="G147" t="s">
        <v>466</v>
      </c>
      <c r="H147">
        <v>1</v>
      </c>
      <c r="I147" t="s">
        <v>467</v>
      </c>
      <c r="J147">
        <v>1</v>
      </c>
      <c r="K147" t="s">
        <v>468</v>
      </c>
      <c r="L147" t="s">
        <v>469</v>
      </c>
      <c r="M147" s="1">
        <f t="shared" si="2"/>
        <v>4</v>
      </c>
      <c r="N147" t="str" cm="1">
        <f t="array" ref="N147">_xlfn.SWITCH(M147,12,"Fix now",11,"Fix now",10,"Fix now",9,"Fix now",8,"Plan",7,"Plan",6,"Plan",5,"Plan",4,"Accept",3,"Accept",2,"Accept",1,"Accept",0,"Accept")</f>
        <v>Accept</v>
      </c>
      <c r="O147" s="5" t="s">
        <v>788</v>
      </c>
      <c r="P147" s="5" t="s">
        <v>991</v>
      </c>
      <c r="Q147" t="s">
        <v>798</v>
      </c>
      <c r="R147" s="5" t="s">
        <v>992</v>
      </c>
    </row>
    <row r="148" spans="1:18" ht="43.2" x14ac:dyDescent="0.3">
      <c r="A148" t="s">
        <v>401</v>
      </c>
      <c r="B148" t="s">
        <v>402</v>
      </c>
      <c r="C148" t="s">
        <v>463</v>
      </c>
      <c r="D148" t="s">
        <v>464</v>
      </c>
      <c r="E148" t="s">
        <v>136</v>
      </c>
      <c r="F148" t="s">
        <v>465</v>
      </c>
      <c r="G148" t="s">
        <v>466</v>
      </c>
      <c r="H148">
        <v>1</v>
      </c>
      <c r="I148" t="s">
        <v>467</v>
      </c>
      <c r="J148">
        <v>2</v>
      </c>
      <c r="K148" t="s">
        <v>470</v>
      </c>
      <c r="L148" t="s">
        <v>471</v>
      </c>
      <c r="M148" s="1">
        <f t="shared" si="2"/>
        <v>3</v>
      </c>
      <c r="N148" t="str" cm="1">
        <f t="array" ref="N148">_xlfn.SWITCH(M148,12,"Fix now",11,"Fix now",10,"Fix now",9,"Fix now",8,"Plan",7,"Plan",6,"Plan",5,"Plan",4,"Accept",3,"Accept",2,"Accept",1,"Accept",0,"Accept")</f>
        <v>Accept</v>
      </c>
      <c r="O148" s="5" t="s">
        <v>796</v>
      </c>
      <c r="P148" s="5" t="s">
        <v>993</v>
      </c>
      <c r="Q148" t="s">
        <v>802</v>
      </c>
      <c r="R148" s="5" t="s">
        <v>994</v>
      </c>
    </row>
    <row r="149" spans="1:18" ht="43.2" x14ac:dyDescent="0.3">
      <c r="A149" t="s">
        <v>401</v>
      </c>
      <c r="B149" t="s">
        <v>402</v>
      </c>
      <c r="C149" t="s">
        <v>463</v>
      </c>
      <c r="D149" t="s">
        <v>464</v>
      </c>
      <c r="E149" t="s">
        <v>136</v>
      </c>
      <c r="F149" t="s">
        <v>465</v>
      </c>
      <c r="G149" t="s">
        <v>466</v>
      </c>
      <c r="H149">
        <v>1</v>
      </c>
      <c r="I149" t="s">
        <v>467</v>
      </c>
      <c r="J149">
        <v>3</v>
      </c>
      <c r="K149" t="s">
        <v>472</v>
      </c>
      <c r="L149" t="s">
        <v>473</v>
      </c>
      <c r="M149" s="1">
        <f t="shared" si="2"/>
        <v>2</v>
      </c>
      <c r="N149" t="str" cm="1">
        <f t="array" ref="N149">_xlfn.SWITCH(M149,12,"Fix now",11,"Fix now",10,"Fix now",9,"Fix now",8,"Plan",7,"Plan",6,"Plan",5,"Plan",4,"Accept",3,"Accept",2,"Accept",1,"Accept",0,"Accept")</f>
        <v>Accept</v>
      </c>
      <c r="O149" s="5" t="s">
        <v>788</v>
      </c>
      <c r="P149" s="5" t="s">
        <v>993</v>
      </c>
      <c r="Q149" t="s">
        <v>802</v>
      </c>
      <c r="R149" s="5" t="s">
        <v>994</v>
      </c>
    </row>
    <row r="150" spans="1:18" ht="43.2" x14ac:dyDescent="0.3">
      <c r="A150" t="s">
        <v>401</v>
      </c>
      <c r="B150" t="s">
        <v>402</v>
      </c>
      <c r="C150" t="s">
        <v>463</v>
      </c>
      <c r="D150" t="s">
        <v>464</v>
      </c>
      <c r="E150" t="s">
        <v>136</v>
      </c>
      <c r="F150" t="s">
        <v>465</v>
      </c>
      <c r="G150" t="s">
        <v>466</v>
      </c>
      <c r="H150">
        <v>1</v>
      </c>
      <c r="I150" t="s">
        <v>467</v>
      </c>
      <c r="J150">
        <v>4</v>
      </c>
      <c r="K150" t="s">
        <v>474</v>
      </c>
      <c r="L150" t="s">
        <v>475</v>
      </c>
      <c r="M150" s="1">
        <f t="shared" si="2"/>
        <v>1</v>
      </c>
      <c r="N150" t="str" cm="1">
        <f t="array" ref="N150">_xlfn.SWITCH(M150,12,"Fix now",11,"Fix now",10,"Fix now",9,"Fix now",8,"Plan",7,"Plan",6,"Plan",5,"Plan",4,"Accept",3,"Accept",2,"Accept",1,"Accept",0,"Accept")</f>
        <v>Accept</v>
      </c>
      <c r="O150" s="5" t="s">
        <v>788</v>
      </c>
      <c r="P150" s="5" t="s">
        <v>993</v>
      </c>
      <c r="Q150" t="s">
        <v>802</v>
      </c>
      <c r="R150" s="5" t="s">
        <v>994</v>
      </c>
    </row>
    <row r="151" spans="1:18" ht="43.2" x14ac:dyDescent="0.3">
      <c r="A151" t="s">
        <v>401</v>
      </c>
      <c r="B151" t="s">
        <v>402</v>
      </c>
      <c r="C151" t="s">
        <v>463</v>
      </c>
      <c r="D151" t="s">
        <v>464</v>
      </c>
      <c r="E151" t="s">
        <v>136</v>
      </c>
      <c r="F151" t="s">
        <v>465</v>
      </c>
      <c r="G151" t="s">
        <v>466</v>
      </c>
      <c r="H151">
        <v>1</v>
      </c>
      <c r="I151" t="s">
        <v>467</v>
      </c>
      <c r="J151">
        <v>5</v>
      </c>
      <c r="K151" t="s">
        <v>476</v>
      </c>
      <c r="L151" t="s">
        <v>477</v>
      </c>
      <c r="M151" s="1">
        <f t="shared" si="2"/>
        <v>0</v>
      </c>
      <c r="N151" t="str" cm="1">
        <f t="array" ref="N151">_xlfn.SWITCH(M151,12,"Fix now",11,"Fix now",10,"Fix now",9,"Fix now",8,"Plan",7,"Plan",6,"Plan",5,"Plan",4,"Accept",3,"Accept",2,"Accept",1,"Accept",0,"Accept")</f>
        <v>Accept</v>
      </c>
      <c r="O151" s="5" t="s">
        <v>788</v>
      </c>
      <c r="P151" s="5" t="s">
        <v>993</v>
      </c>
      <c r="Q151" t="s">
        <v>802</v>
      </c>
      <c r="R151" s="5" t="s">
        <v>994</v>
      </c>
    </row>
    <row r="152" spans="1:18" ht="43.2" x14ac:dyDescent="0.3">
      <c r="A152" t="s">
        <v>478</v>
      </c>
      <c r="B152" t="s">
        <v>479</v>
      </c>
      <c r="C152" t="s">
        <v>480</v>
      </c>
      <c r="D152" t="s">
        <v>481</v>
      </c>
      <c r="E152" t="s">
        <v>98</v>
      </c>
      <c r="F152" t="s">
        <v>482</v>
      </c>
      <c r="G152" t="s">
        <v>483</v>
      </c>
      <c r="H152">
        <v>3</v>
      </c>
      <c r="I152" t="s">
        <v>484</v>
      </c>
      <c r="J152">
        <v>1</v>
      </c>
      <c r="K152" t="s">
        <v>485</v>
      </c>
      <c r="L152" t="s">
        <v>486</v>
      </c>
      <c r="M152" s="1">
        <f t="shared" si="2"/>
        <v>12</v>
      </c>
      <c r="N152" t="str" cm="1">
        <f t="array" ref="N152">_xlfn.SWITCH(M152,12,"Fix now",11,"Fix now",10,"Fix now",9,"Fix now",8,"Plan",7,"Plan",6,"Plan",5,"Plan",4,"Accept",3,"Accept",2,"Accept",1,"Accept",0,"Accept")</f>
        <v>Fix now</v>
      </c>
      <c r="O152" s="5" t="s">
        <v>788</v>
      </c>
      <c r="P152" s="5" t="s">
        <v>995</v>
      </c>
      <c r="Q152" t="s">
        <v>790</v>
      </c>
      <c r="R152" s="5" t="s">
        <v>996</v>
      </c>
    </row>
    <row r="153" spans="1:18" ht="43.2" x14ac:dyDescent="0.3">
      <c r="A153" t="s">
        <v>478</v>
      </c>
      <c r="B153" t="s">
        <v>479</v>
      </c>
      <c r="C153" t="s">
        <v>480</v>
      </c>
      <c r="D153" t="s">
        <v>481</v>
      </c>
      <c r="E153" t="s">
        <v>98</v>
      </c>
      <c r="F153" t="s">
        <v>482</v>
      </c>
      <c r="G153" t="s">
        <v>483</v>
      </c>
      <c r="H153">
        <v>3</v>
      </c>
      <c r="I153" t="s">
        <v>484</v>
      </c>
      <c r="J153">
        <v>2</v>
      </c>
      <c r="K153" t="s">
        <v>487</v>
      </c>
      <c r="L153" t="s">
        <v>488</v>
      </c>
      <c r="M153" s="1">
        <f t="shared" si="2"/>
        <v>9</v>
      </c>
      <c r="N153" t="str" cm="1">
        <f t="array" ref="N153">_xlfn.SWITCH(M153,12,"Fix now",11,"Fix now",10,"Fix now",9,"Fix now",8,"Plan",7,"Plan",6,"Plan",5,"Plan",4,"Accept",3,"Accept",2,"Accept",1,"Accept",0,"Accept")</f>
        <v>Fix now</v>
      </c>
      <c r="O153" s="5" t="s">
        <v>796</v>
      </c>
      <c r="P153" s="5" t="s">
        <v>997</v>
      </c>
      <c r="Q153" t="s">
        <v>794</v>
      </c>
      <c r="R153" s="5" t="s">
        <v>998</v>
      </c>
    </row>
    <row r="154" spans="1:18" ht="43.2" x14ac:dyDescent="0.3">
      <c r="A154" t="s">
        <v>478</v>
      </c>
      <c r="B154" t="s">
        <v>479</v>
      </c>
      <c r="C154" t="s">
        <v>480</v>
      </c>
      <c r="D154" t="s">
        <v>481</v>
      </c>
      <c r="E154" t="s">
        <v>98</v>
      </c>
      <c r="F154" t="s">
        <v>482</v>
      </c>
      <c r="G154" t="s">
        <v>483</v>
      </c>
      <c r="H154">
        <v>3</v>
      </c>
      <c r="I154" t="s">
        <v>484</v>
      </c>
      <c r="J154">
        <v>3</v>
      </c>
      <c r="K154" t="s">
        <v>489</v>
      </c>
      <c r="L154" t="s">
        <v>490</v>
      </c>
      <c r="M154" s="1">
        <f t="shared" si="2"/>
        <v>6</v>
      </c>
      <c r="N154" t="str" cm="1">
        <f t="array" ref="N154">_xlfn.SWITCH(M154,12,"Fix now",11,"Fix now",10,"Fix now",9,"Fix now",8,"Plan",7,"Plan",6,"Plan",5,"Plan",4,"Accept",3,"Accept",2,"Accept",1,"Accept",0,"Accept")</f>
        <v>Plan</v>
      </c>
      <c r="O154" s="5" t="s">
        <v>788</v>
      </c>
      <c r="P154" s="5" t="s">
        <v>999</v>
      </c>
      <c r="Q154" t="s">
        <v>798</v>
      </c>
      <c r="R154" s="5" t="s">
        <v>1000</v>
      </c>
    </row>
    <row r="155" spans="1:18" ht="43.2" x14ac:dyDescent="0.3">
      <c r="A155" t="s">
        <v>478</v>
      </c>
      <c r="B155" t="s">
        <v>479</v>
      </c>
      <c r="C155" t="s">
        <v>480</v>
      </c>
      <c r="D155" t="s">
        <v>481</v>
      </c>
      <c r="E155" t="s">
        <v>98</v>
      </c>
      <c r="F155" t="s">
        <v>482</v>
      </c>
      <c r="G155" t="s">
        <v>483</v>
      </c>
      <c r="H155">
        <v>3</v>
      </c>
      <c r="I155" t="s">
        <v>484</v>
      </c>
      <c r="J155">
        <v>4</v>
      </c>
      <c r="K155" t="s">
        <v>491</v>
      </c>
      <c r="L155" t="s">
        <v>492</v>
      </c>
      <c r="M155" s="1">
        <f t="shared" si="2"/>
        <v>3</v>
      </c>
      <c r="N155" t="str" cm="1">
        <f t="array" ref="N155">_xlfn.SWITCH(M155,12,"Fix now",11,"Fix now",10,"Fix now",9,"Fix now",8,"Plan",7,"Plan",6,"Plan",5,"Plan",4,"Accept",3,"Accept",2,"Accept",1,"Accept",0,"Accept")</f>
        <v>Accept</v>
      </c>
      <c r="O155" s="5" t="s">
        <v>788</v>
      </c>
      <c r="P155" s="5" t="s">
        <v>1001</v>
      </c>
      <c r="Q155" t="s">
        <v>802</v>
      </c>
      <c r="R155" s="5" t="s">
        <v>1002</v>
      </c>
    </row>
    <row r="156" spans="1:18" ht="43.2" x14ac:dyDescent="0.3">
      <c r="A156" t="s">
        <v>478</v>
      </c>
      <c r="B156" t="s">
        <v>479</v>
      </c>
      <c r="C156" t="s">
        <v>480</v>
      </c>
      <c r="D156" t="s">
        <v>481</v>
      </c>
      <c r="E156" t="s">
        <v>98</v>
      </c>
      <c r="F156" t="s">
        <v>482</v>
      </c>
      <c r="G156" t="s">
        <v>483</v>
      </c>
      <c r="H156">
        <v>3</v>
      </c>
      <c r="I156" t="s">
        <v>484</v>
      </c>
      <c r="J156">
        <v>5</v>
      </c>
      <c r="K156" t="s">
        <v>493</v>
      </c>
      <c r="L156" t="s">
        <v>494</v>
      </c>
      <c r="M156" s="1">
        <f t="shared" si="2"/>
        <v>0</v>
      </c>
      <c r="N156" t="str" cm="1">
        <f t="array" ref="N156">_xlfn.SWITCH(M156,12,"Fix now",11,"Fix now",10,"Fix now",9,"Fix now",8,"Plan",7,"Plan",6,"Plan",5,"Plan",4,"Accept",3,"Accept",2,"Accept",1,"Accept",0,"Accept")</f>
        <v>Accept</v>
      </c>
      <c r="O156" s="5" t="s">
        <v>788</v>
      </c>
      <c r="P156" s="5" t="s">
        <v>1001</v>
      </c>
      <c r="Q156" t="s">
        <v>802</v>
      </c>
      <c r="R156" s="5" t="s">
        <v>1002</v>
      </c>
    </row>
    <row r="157" spans="1:18" ht="43.2" x14ac:dyDescent="0.3">
      <c r="A157" t="s">
        <v>478</v>
      </c>
      <c r="B157" t="s">
        <v>479</v>
      </c>
      <c r="C157" t="s">
        <v>495</v>
      </c>
      <c r="D157" t="s">
        <v>496</v>
      </c>
      <c r="E157" t="s">
        <v>98</v>
      </c>
      <c r="F157" t="s">
        <v>497</v>
      </c>
      <c r="G157" t="s">
        <v>498</v>
      </c>
      <c r="H157">
        <v>2</v>
      </c>
      <c r="I157" t="s">
        <v>499</v>
      </c>
      <c r="J157">
        <v>1</v>
      </c>
      <c r="K157" t="s">
        <v>500</v>
      </c>
      <c r="L157" t="s">
        <v>501</v>
      </c>
      <c r="M157" s="1">
        <f t="shared" si="2"/>
        <v>8</v>
      </c>
      <c r="N157" t="str" cm="1">
        <f t="array" ref="N157">_xlfn.SWITCH(M157,12,"Fix now",11,"Fix now",10,"Fix now",9,"Fix now",8,"Plan",7,"Plan",6,"Plan",5,"Plan",4,"Accept",3,"Accept",2,"Accept",1,"Accept",0,"Accept")</f>
        <v>Plan</v>
      </c>
      <c r="O157" s="5" t="s">
        <v>788</v>
      </c>
      <c r="P157" s="5" t="s">
        <v>1003</v>
      </c>
      <c r="Q157" t="s">
        <v>794</v>
      </c>
      <c r="R157" s="5" t="s">
        <v>1004</v>
      </c>
    </row>
    <row r="158" spans="1:18" ht="43.2" x14ac:dyDescent="0.3">
      <c r="A158" t="s">
        <v>478</v>
      </c>
      <c r="B158" t="s">
        <v>479</v>
      </c>
      <c r="C158" t="s">
        <v>495</v>
      </c>
      <c r="D158" t="s">
        <v>496</v>
      </c>
      <c r="E158" t="s">
        <v>98</v>
      </c>
      <c r="F158" t="s">
        <v>497</v>
      </c>
      <c r="G158" t="s">
        <v>498</v>
      </c>
      <c r="H158">
        <v>2</v>
      </c>
      <c r="I158" t="s">
        <v>499</v>
      </c>
      <c r="J158">
        <v>2</v>
      </c>
      <c r="K158" t="s">
        <v>502</v>
      </c>
      <c r="L158" t="s">
        <v>503</v>
      </c>
      <c r="M158" s="1">
        <f t="shared" si="2"/>
        <v>6</v>
      </c>
      <c r="N158" t="str" cm="1">
        <f t="array" ref="N158">_xlfn.SWITCH(M158,12,"Fix now",11,"Fix now",10,"Fix now",9,"Fix now",8,"Plan",7,"Plan",6,"Plan",5,"Plan",4,"Accept",3,"Accept",2,"Accept",1,"Accept",0,"Accept")</f>
        <v>Plan</v>
      </c>
      <c r="O158" s="5" t="s">
        <v>788</v>
      </c>
      <c r="P158" s="5" t="s">
        <v>1005</v>
      </c>
      <c r="Q158" t="s">
        <v>798</v>
      </c>
      <c r="R158" s="5" t="s">
        <v>1006</v>
      </c>
    </row>
    <row r="159" spans="1:18" ht="43.2" x14ac:dyDescent="0.3">
      <c r="A159" t="s">
        <v>478</v>
      </c>
      <c r="B159" t="s">
        <v>479</v>
      </c>
      <c r="C159" t="s">
        <v>495</v>
      </c>
      <c r="D159" t="s">
        <v>496</v>
      </c>
      <c r="E159" t="s">
        <v>98</v>
      </c>
      <c r="F159" t="s">
        <v>497</v>
      </c>
      <c r="G159" t="s">
        <v>498</v>
      </c>
      <c r="H159">
        <v>2</v>
      </c>
      <c r="I159" t="s">
        <v>499</v>
      </c>
      <c r="J159">
        <v>3</v>
      </c>
      <c r="K159" t="s">
        <v>504</v>
      </c>
      <c r="L159" t="s">
        <v>505</v>
      </c>
      <c r="M159" s="1">
        <f t="shared" si="2"/>
        <v>4</v>
      </c>
      <c r="N159" t="str" cm="1">
        <f t="array" ref="N159">_xlfn.SWITCH(M159,12,"Fix now",11,"Fix now",10,"Fix now",9,"Fix now",8,"Plan",7,"Plan",6,"Plan",5,"Plan",4,"Accept",3,"Accept",2,"Accept",1,"Accept",0,"Accept")</f>
        <v>Accept</v>
      </c>
      <c r="O159" s="5" t="s">
        <v>796</v>
      </c>
      <c r="P159" s="5" t="s">
        <v>1005</v>
      </c>
      <c r="Q159" t="s">
        <v>798</v>
      </c>
      <c r="R159" s="5" t="s">
        <v>1006</v>
      </c>
    </row>
    <row r="160" spans="1:18" ht="43.2" x14ac:dyDescent="0.3">
      <c r="A160" t="s">
        <v>478</v>
      </c>
      <c r="B160" t="s">
        <v>479</v>
      </c>
      <c r="C160" t="s">
        <v>495</v>
      </c>
      <c r="D160" t="s">
        <v>496</v>
      </c>
      <c r="E160" t="s">
        <v>98</v>
      </c>
      <c r="F160" t="s">
        <v>497</v>
      </c>
      <c r="G160" t="s">
        <v>498</v>
      </c>
      <c r="H160">
        <v>2</v>
      </c>
      <c r="I160" t="s">
        <v>499</v>
      </c>
      <c r="J160">
        <v>4</v>
      </c>
      <c r="K160" t="s">
        <v>506</v>
      </c>
      <c r="L160" t="s">
        <v>507</v>
      </c>
      <c r="M160" s="1">
        <f t="shared" si="2"/>
        <v>2</v>
      </c>
      <c r="N160" t="str" cm="1">
        <f t="array" ref="N160">_xlfn.SWITCH(M160,12,"Fix now",11,"Fix now",10,"Fix now",9,"Fix now",8,"Plan",7,"Plan",6,"Plan",5,"Plan",4,"Accept",3,"Accept",2,"Accept",1,"Accept",0,"Accept")</f>
        <v>Accept</v>
      </c>
      <c r="O160" s="5" t="s">
        <v>788</v>
      </c>
      <c r="P160" s="5" t="s">
        <v>1007</v>
      </c>
      <c r="Q160" t="s">
        <v>802</v>
      </c>
      <c r="R160" s="5" t="s">
        <v>1008</v>
      </c>
    </row>
    <row r="161" spans="1:18" ht="43.2" x14ac:dyDescent="0.3">
      <c r="A161" t="s">
        <v>478</v>
      </c>
      <c r="B161" t="s">
        <v>479</v>
      </c>
      <c r="C161" t="s">
        <v>495</v>
      </c>
      <c r="D161" t="s">
        <v>496</v>
      </c>
      <c r="E161" t="s">
        <v>98</v>
      </c>
      <c r="F161" t="s">
        <v>497</v>
      </c>
      <c r="G161" t="s">
        <v>498</v>
      </c>
      <c r="H161">
        <v>2</v>
      </c>
      <c r="I161" t="s">
        <v>499</v>
      </c>
      <c r="J161">
        <v>5</v>
      </c>
      <c r="K161" t="s">
        <v>508</v>
      </c>
      <c r="L161" t="s">
        <v>509</v>
      </c>
      <c r="M161" s="1">
        <f t="shared" si="2"/>
        <v>0</v>
      </c>
      <c r="N161" t="str" cm="1">
        <f t="array" ref="N161">_xlfn.SWITCH(M161,12,"Fix now",11,"Fix now",10,"Fix now",9,"Fix now",8,"Plan",7,"Plan",6,"Plan",5,"Plan",4,"Accept",3,"Accept",2,"Accept",1,"Accept",0,"Accept")</f>
        <v>Accept</v>
      </c>
      <c r="O161" s="5" t="s">
        <v>788</v>
      </c>
      <c r="P161" s="5" t="s">
        <v>1007</v>
      </c>
      <c r="Q161" t="s">
        <v>802</v>
      </c>
      <c r="R161" s="5" t="s">
        <v>1008</v>
      </c>
    </row>
    <row r="162" spans="1:18" ht="43.2" x14ac:dyDescent="0.3">
      <c r="A162" t="s">
        <v>478</v>
      </c>
      <c r="B162" t="s">
        <v>479</v>
      </c>
      <c r="C162" t="s">
        <v>510</v>
      </c>
      <c r="D162" t="s">
        <v>511</v>
      </c>
      <c r="E162" t="s">
        <v>98</v>
      </c>
      <c r="F162" t="s">
        <v>512</v>
      </c>
      <c r="G162" t="s">
        <v>513</v>
      </c>
      <c r="H162">
        <v>3</v>
      </c>
      <c r="I162" t="s">
        <v>514</v>
      </c>
      <c r="J162">
        <v>1</v>
      </c>
      <c r="K162" t="s">
        <v>515</v>
      </c>
      <c r="L162" t="s">
        <v>516</v>
      </c>
      <c r="M162" s="1">
        <f t="shared" si="2"/>
        <v>12</v>
      </c>
      <c r="N162" t="str" cm="1">
        <f t="array" ref="N162">_xlfn.SWITCH(M162,12,"Fix now",11,"Fix now",10,"Fix now",9,"Fix now",8,"Plan",7,"Plan",6,"Plan",5,"Plan",4,"Accept",3,"Accept",2,"Accept",1,"Accept",0,"Accept")</f>
        <v>Fix now</v>
      </c>
      <c r="O162" s="5" t="s">
        <v>788</v>
      </c>
      <c r="P162" s="5" t="s">
        <v>1009</v>
      </c>
      <c r="Q162" t="s">
        <v>790</v>
      </c>
      <c r="R162" s="5" t="s">
        <v>1010</v>
      </c>
    </row>
    <row r="163" spans="1:18" ht="43.2" x14ac:dyDescent="0.3">
      <c r="A163" t="s">
        <v>478</v>
      </c>
      <c r="B163" t="s">
        <v>479</v>
      </c>
      <c r="C163" t="s">
        <v>510</v>
      </c>
      <c r="D163" t="s">
        <v>511</v>
      </c>
      <c r="E163" t="s">
        <v>98</v>
      </c>
      <c r="F163" t="s">
        <v>512</v>
      </c>
      <c r="G163" t="s">
        <v>513</v>
      </c>
      <c r="H163">
        <v>3</v>
      </c>
      <c r="I163" t="s">
        <v>514</v>
      </c>
      <c r="J163">
        <v>2</v>
      </c>
      <c r="K163" t="s">
        <v>517</v>
      </c>
      <c r="L163" t="s">
        <v>518</v>
      </c>
      <c r="M163" s="1">
        <f t="shared" si="2"/>
        <v>9</v>
      </c>
      <c r="N163" t="str" cm="1">
        <f t="array" ref="N163">_xlfn.SWITCH(M163,12,"Fix now",11,"Fix now",10,"Fix now",9,"Fix now",8,"Plan",7,"Plan",6,"Plan",5,"Plan",4,"Accept",3,"Accept",2,"Accept",1,"Accept",0,"Accept")</f>
        <v>Fix now</v>
      </c>
      <c r="O163" s="5" t="s">
        <v>788</v>
      </c>
      <c r="P163" s="5" t="s">
        <v>1011</v>
      </c>
      <c r="Q163" t="s">
        <v>794</v>
      </c>
      <c r="R163" s="5" t="s">
        <v>1012</v>
      </c>
    </row>
    <row r="164" spans="1:18" ht="43.2" x14ac:dyDescent="0.3">
      <c r="A164" t="s">
        <v>478</v>
      </c>
      <c r="B164" t="s">
        <v>479</v>
      </c>
      <c r="C164" t="s">
        <v>510</v>
      </c>
      <c r="D164" t="s">
        <v>511</v>
      </c>
      <c r="E164" t="s">
        <v>98</v>
      </c>
      <c r="F164" t="s">
        <v>512</v>
      </c>
      <c r="G164" t="s">
        <v>513</v>
      </c>
      <c r="H164">
        <v>3</v>
      </c>
      <c r="I164" t="s">
        <v>514</v>
      </c>
      <c r="J164">
        <v>3</v>
      </c>
      <c r="K164" t="s">
        <v>519</v>
      </c>
      <c r="L164" t="s">
        <v>520</v>
      </c>
      <c r="M164" s="1">
        <f t="shared" si="2"/>
        <v>6</v>
      </c>
      <c r="N164" t="str" cm="1">
        <f t="array" ref="N164">_xlfn.SWITCH(M164,12,"Fix now",11,"Fix now",10,"Fix now",9,"Fix now",8,"Plan",7,"Plan",6,"Plan",5,"Plan",4,"Accept",3,"Accept",2,"Accept",1,"Accept",0,"Accept")</f>
        <v>Plan</v>
      </c>
      <c r="O164" s="5" t="s">
        <v>796</v>
      </c>
      <c r="P164" s="5" t="s">
        <v>1013</v>
      </c>
      <c r="Q164" t="s">
        <v>798</v>
      </c>
      <c r="R164" s="5" t="s">
        <v>1014</v>
      </c>
    </row>
    <row r="165" spans="1:18" ht="43.2" x14ac:dyDescent="0.3">
      <c r="A165" t="s">
        <v>478</v>
      </c>
      <c r="B165" t="s">
        <v>479</v>
      </c>
      <c r="C165" t="s">
        <v>510</v>
      </c>
      <c r="D165" t="s">
        <v>511</v>
      </c>
      <c r="E165" t="s">
        <v>98</v>
      </c>
      <c r="F165" t="s">
        <v>512</v>
      </c>
      <c r="G165" t="s">
        <v>513</v>
      </c>
      <c r="H165">
        <v>3</v>
      </c>
      <c r="I165" t="s">
        <v>514</v>
      </c>
      <c r="J165">
        <v>4</v>
      </c>
      <c r="K165" t="s">
        <v>521</v>
      </c>
      <c r="L165" t="s">
        <v>522</v>
      </c>
      <c r="M165" s="1">
        <f t="shared" si="2"/>
        <v>3</v>
      </c>
      <c r="N165" t="str" cm="1">
        <f t="array" ref="N165">_xlfn.SWITCH(M165,12,"Fix now",11,"Fix now",10,"Fix now",9,"Fix now",8,"Plan",7,"Plan",6,"Plan",5,"Plan",4,"Accept",3,"Accept",2,"Accept",1,"Accept",0,"Accept")</f>
        <v>Accept</v>
      </c>
      <c r="O165" s="5" t="s">
        <v>788</v>
      </c>
      <c r="P165" s="5" t="s">
        <v>1015</v>
      </c>
      <c r="Q165" t="s">
        <v>802</v>
      </c>
      <c r="R165" s="5" t="s">
        <v>1016</v>
      </c>
    </row>
    <row r="166" spans="1:18" ht="43.2" x14ac:dyDescent="0.3">
      <c r="A166" t="s">
        <v>478</v>
      </c>
      <c r="B166" t="s">
        <v>479</v>
      </c>
      <c r="C166" t="s">
        <v>510</v>
      </c>
      <c r="D166" t="s">
        <v>511</v>
      </c>
      <c r="E166" t="s">
        <v>98</v>
      </c>
      <c r="F166" t="s">
        <v>512</v>
      </c>
      <c r="G166" t="s">
        <v>513</v>
      </c>
      <c r="H166">
        <v>3</v>
      </c>
      <c r="I166" t="s">
        <v>514</v>
      </c>
      <c r="J166">
        <v>5</v>
      </c>
      <c r="K166" t="s">
        <v>523</v>
      </c>
      <c r="L166" t="s">
        <v>524</v>
      </c>
      <c r="M166" s="1">
        <f t="shared" si="2"/>
        <v>0</v>
      </c>
      <c r="N166" t="str" cm="1">
        <f t="array" ref="N166">_xlfn.SWITCH(M166,12,"Fix now",11,"Fix now",10,"Fix now",9,"Fix now",8,"Plan",7,"Plan",6,"Plan",5,"Plan",4,"Accept",3,"Accept",2,"Accept",1,"Accept",0,"Accept")</f>
        <v>Accept</v>
      </c>
      <c r="O166" s="5" t="s">
        <v>788</v>
      </c>
      <c r="P166" s="5" t="s">
        <v>1015</v>
      </c>
      <c r="Q166" t="s">
        <v>802</v>
      </c>
      <c r="R166" s="5" t="s">
        <v>1016</v>
      </c>
    </row>
    <row r="167" spans="1:18" ht="43.2" x14ac:dyDescent="0.3">
      <c r="A167" t="s">
        <v>478</v>
      </c>
      <c r="B167" t="s">
        <v>479</v>
      </c>
      <c r="C167" t="s">
        <v>525</v>
      </c>
      <c r="D167" t="s">
        <v>526</v>
      </c>
      <c r="E167" t="s">
        <v>98</v>
      </c>
      <c r="F167" t="s">
        <v>527</v>
      </c>
      <c r="G167" t="s">
        <v>528</v>
      </c>
      <c r="H167">
        <v>2</v>
      </c>
      <c r="I167" t="s">
        <v>529</v>
      </c>
      <c r="J167">
        <v>1</v>
      </c>
      <c r="K167" t="s">
        <v>530</v>
      </c>
      <c r="L167" t="s">
        <v>531</v>
      </c>
      <c r="M167" s="1">
        <f t="shared" si="2"/>
        <v>8</v>
      </c>
      <c r="N167" t="str" cm="1">
        <f t="array" ref="N167">_xlfn.SWITCH(M167,12,"Fix now",11,"Fix now",10,"Fix now",9,"Fix now",8,"Plan",7,"Plan",6,"Plan",5,"Plan",4,"Accept",3,"Accept",2,"Accept",1,"Accept",0,"Accept")</f>
        <v>Plan</v>
      </c>
      <c r="O167" s="5" t="s">
        <v>788</v>
      </c>
      <c r="P167" s="5" t="s">
        <v>1017</v>
      </c>
      <c r="Q167" t="s">
        <v>794</v>
      </c>
      <c r="R167" s="5" t="s">
        <v>1018</v>
      </c>
    </row>
    <row r="168" spans="1:18" ht="43.2" x14ac:dyDescent="0.3">
      <c r="A168" t="s">
        <v>478</v>
      </c>
      <c r="B168" t="s">
        <v>479</v>
      </c>
      <c r="C168" t="s">
        <v>525</v>
      </c>
      <c r="D168" t="s">
        <v>526</v>
      </c>
      <c r="E168" t="s">
        <v>98</v>
      </c>
      <c r="F168" t="s">
        <v>527</v>
      </c>
      <c r="G168" t="s">
        <v>528</v>
      </c>
      <c r="H168">
        <v>2</v>
      </c>
      <c r="I168" t="s">
        <v>529</v>
      </c>
      <c r="J168">
        <v>2</v>
      </c>
      <c r="K168" t="s">
        <v>532</v>
      </c>
      <c r="L168" t="s">
        <v>533</v>
      </c>
      <c r="M168" s="1">
        <f t="shared" si="2"/>
        <v>6</v>
      </c>
      <c r="N168" t="str" cm="1">
        <f t="array" ref="N168">_xlfn.SWITCH(M168,12,"Fix now",11,"Fix now",10,"Fix now",9,"Fix now",8,"Plan",7,"Plan",6,"Plan",5,"Plan",4,"Accept",3,"Accept",2,"Accept",1,"Accept",0,"Accept")</f>
        <v>Plan</v>
      </c>
      <c r="O168" s="5" t="s">
        <v>796</v>
      </c>
      <c r="P168" s="5" t="s">
        <v>1019</v>
      </c>
      <c r="Q168" t="s">
        <v>798</v>
      </c>
      <c r="R168" s="5" t="s">
        <v>1020</v>
      </c>
    </row>
    <row r="169" spans="1:18" ht="43.2" x14ac:dyDescent="0.3">
      <c r="A169" t="s">
        <v>478</v>
      </c>
      <c r="B169" t="s">
        <v>479</v>
      </c>
      <c r="C169" t="s">
        <v>525</v>
      </c>
      <c r="D169" t="s">
        <v>526</v>
      </c>
      <c r="E169" t="s">
        <v>98</v>
      </c>
      <c r="F169" t="s">
        <v>527</v>
      </c>
      <c r="G169" t="s">
        <v>528</v>
      </c>
      <c r="H169">
        <v>2</v>
      </c>
      <c r="I169" t="s">
        <v>529</v>
      </c>
      <c r="J169">
        <v>3</v>
      </c>
      <c r="K169" t="s">
        <v>534</v>
      </c>
      <c r="L169" t="s">
        <v>535</v>
      </c>
      <c r="M169" s="1">
        <f t="shared" si="2"/>
        <v>4</v>
      </c>
      <c r="N169" t="str" cm="1">
        <f t="array" ref="N169">_xlfn.SWITCH(M169,12,"Fix now",11,"Fix now",10,"Fix now",9,"Fix now",8,"Plan",7,"Plan",6,"Plan",5,"Plan",4,"Accept",3,"Accept",2,"Accept",1,"Accept",0,"Accept")</f>
        <v>Accept</v>
      </c>
      <c r="O169" s="5" t="s">
        <v>788</v>
      </c>
      <c r="P169" s="5" t="s">
        <v>1019</v>
      </c>
      <c r="Q169" t="s">
        <v>798</v>
      </c>
      <c r="R169" s="5" t="s">
        <v>1020</v>
      </c>
    </row>
    <row r="170" spans="1:18" ht="43.2" x14ac:dyDescent="0.3">
      <c r="A170" t="s">
        <v>478</v>
      </c>
      <c r="B170" t="s">
        <v>479</v>
      </c>
      <c r="C170" t="s">
        <v>525</v>
      </c>
      <c r="D170" t="s">
        <v>526</v>
      </c>
      <c r="E170" t="s">
        <v>98</v>
      </c>
      <c r="F170" t="s">
        <v>527</v>
      </c>
      <c r="G170" t="s">
        <v>528</v>
      </c>
      <c r="H170">
        <v>2</v>
      </c>
      <c r="I170" t="s">
        <v>529</v>
      </c>
      <c r="J170">
        <v>4</v>
      </c>
      <c r="K170" t="s">
        <v>536</v>
      </c>
      <c r="L170" t="s">
        <v>537</v>
      </c>
      <c r="M170" s="1">
        <f t="shared" si="2"/>
        <v>2</v>
      </c>
      <c r="N170" t="str" cm="1">
        <f t="array" ref="N170">_xlfn.SWITCH(M170,12,"Fix now",11,"Fix now",10,"Fix now",9,"Fix now",8,"Plan",7,"Plan",6,"Plan",5,"Plan",4,"Accept",3,"Accept",2,"Accept",1,"Accept",0,"Accept")</f>
        <v>Accept</v>
      </c>
      <c r="O170" s="5" t="s">
        <v>788</v>
      </c>
      <c r="P170" s="5" t="s">
        <v>1021</v>
      </c>
      <c r="Q170" t="s">
        <v>802</v>
      </c>
      <c r="R170" s="5" t="s">
        <v>1022</v>
      </c>
    </row>
    <row r="171" spans="1:18" ht="43.2" x14ac:dyDescent="0.3">
      <c r="A171" t="s">
        <v>478</v>
      </c>
      <c r="B171" t="s">
        <v>479</v>
      </c>
      <c r="C171" t="s">
        <v>525</v>
      </c>
      <c r="D171" t="s">
        <v>526</v>
      </c>
      <c r="E171" t="s">
        <v>98</v>
      </c>
      <c r="F171" t="s">
        <v>527</v>
      </c>
      <c r="G171" t="s">
        <v>528</v>
      </c>
      <c r="H171">
        <v>2</v>
      </c>
      <c r="I171" t="s">
        <v>529</v>
      </c>
      <c r="J171">
        <v>5</v>
      </c>
      <c r="K171" t="s">
        <v>538</v>
      </c>
      <c r="L171" t="s">
        <v>539</v>
      </c>
      <c r="M171" s="1">
        <f t="shared" si="2"/>
        <v>0</v>
      </c>
      <c r="N171" t="str" cm="1">
        <f t="array" ref="N171">_xlfn.SWITCH(M171,12,"Fix now",11,"Fix now",10,"Fix now",9,"Fix now",8,"Plan",7,"Plan",6,"Plan",5,"Plan",4,"Accept",3,"Accept",2,"Accept",1,"Accept",0,"Accept")</f>
        <v>Accept</v>
      </c>
      <c r="O171" s="5" t="s">
        <v>788</v>
      </c>
      <c r="P171" s="5" t="s">
        <v>1021</v>
      </c>
      <c r="Q171" t="s">
        <v>802</v>
      </c>
      <c r="R171" s="5" t="s">
        <v>1022</v>
      </c>
    </row>
    <row r="172" spans="1:18" ht="43.2" x14ac:dyDescent="0.3">
      <c r="A172" t="s">
        <v>478</v>
      </c>
      <c r="B172" t="s">
        <v>479</v>
      </c>
      <c r="C172" t="s">
        <v>540</v>
      </c>
      <c r="D172" t="s">
        <v>541</v>
      </c>
      <c r="E172" t="s">
        <v>98</v>
      </c>
      <c r="F172" t="s">
        <v>542</v>
      </c>
      <c r="G172" t="s">
        <v>543</v>
      </c>
      <c r="H172">
        <v>1</v>
      </c>
      <c r="I172" t="s">
        <v>544</v>
      </c>
      <c r="J172">
        <v>1</v>
      </c>
      <c r="K172" t="s">
        <v>545</v>
      </c>
      <c r="L172" t="s">
        <v>546</v>
      </c>
      <c r="M172" s="1">
        <f t="shared" si="2"/>
        <v>4</v>
      </c>
      <c r="N172" t="str" cm="1">
        <f t="array" ref="N172">_xlfn.SWITCH(M172,12,"Fix now",11,"Fix now",10,"Fix now",9,"Fix now",8,"Plan",7,"Plan",6,"Plan",5,"Plan",4,"Accept",3,"Accept",2,"Accept",1,"Accept",0,"Accept")</f>
        <v>Accept</v>
      </c>
      <c r="O172" s="5" t="s">
        <v>792</v>
      </c>
      <c r="P172" s="5" t="s">
        <v>1023</v>
      </c>
      <c r="Q172" t="s">
        <v>798</v>
      </c>
      <c r="R172" s="5" t="s">
        <v>1024</v>
      </c>
    </row>
    <row r="173" spans="1:18" ht="43.2" x14ac:dyDescent="0.3">
      <c r="A173" t="s">
        <v>478</v>
      </c>
      <c r="B173" t="s">
        <v>479</v>
      </c>
      <c r="C173" t="s">
        <v>540</v>
      </c>
      <c r="D173" t="s">
        <v>541</v>
      </c>
      <c r="E173" t="s">
        <v>98</v>
      </c>
      <c r="F173" t="s">
        <v>542</v>
      </c>
      <c r="G173" t="s">
        <v>543</v>
      </c>
      <c r="H173">
        <v>1</v>
      </c>
      <c r="I173" t="s">
        <v>544</v>
      </c>
      <c r="J173">
        <v>2</v>
      </c>
      <c r="K173" t="s">
        <v>547</v>
      </c>
      <c r="L173" t="s">
        <v>548</v>
      </c>
      <c r="M173" s="1">
        <f t="shared" si="2"/>
        <v>3</v>
      </c>
      <c r="N173" t="str" cm="1">
        <f t="array" ref="N173">_xlfn.SWITCH(M173,12,"Fix now",11,"Fix now",10,"Fix now",9,"Fix now",8,"Plan",7,"Plan",6,"Plan",5,"Plan",4,"Accept",3,"Accept",2,"Accept",1,"Accept",0,"Accept")</f>
        <v>Accept</v>
      </c>
      <c r="O173" s="5" t="s">
        <v>807</v>
      </c>
      <c r="P173" s="5" t="s">
        <v>1025</v>
      </c>
      <c r="Q173" t="s">
        <v>802</v>
      </c>
      <c r="R173" s="5" t="s">
        <v>1026</v>
      </c>
    </row>
    <row r="174" spans="1:18" ht="43.2" x14ac:dyDescent="0.3">
      <c r="A174" t="s">
        <v>478</v>
      </c>
      <c r="B174" t="s">
        <v>479</v>
      </c>
      <c r="C174" t="s">
        <v>540</v>
      </c>
      <c r="D174" t="s">
        <v>541</v>
      </c>
      <c r="E174" t="s">
        <v>98</v>
      </c>
      <c r="F174" t="s">
        <v>542</v>
      </c>
      <c r="G174" t="s">
        <v>543</v>
      </c>
      <c r="H174">
        <v>1</v>
      </c>
      <c r="I174" t="s">
        <v>544</v>
      </c>
      <c r="J174">
        <v>3</v>
      </c>
      <c r="K174" t="s">
        <v>549</v>
      </c>
      <c r="L174" t="s">
        <v>550</v>
      </c>
      <c r="M174" s="1">
        <f t="shared" si="2"/>
        <v>2</v>
      </c>
      <c r="N174" t="str" cm="1">
        <f t="array" ref="N174">_xlfn.SWITCH(M174,12,"Fix now",11,"Fix now",10,"Fix now",9,"Fix now",8,"Plan",7,"Plan",6,"Plan",5,"Plan",4,"Accept",3,"Accept",2,"Accept",1,"Accept",0,"Accept")</f>
        <v>Accept</v>
      </c>
      <c r="O174" s="5" t="s">
        <v>796</v>
      </c>
      <c r="P174" s="5" t="s">
        <v>1025</v>
      </c>
      <c r="Q174" t="s">
        <v>802</v>
      </c>
      <c r="R174" s="5" t="s">
        <v>1026</v>
      </c>
    </row>
    <row r="175" spans="1:18" ht="43.2" x14ac:dyDescent="0.3">
      <c r="A175" t="s">
        <v>478</v>
      </c>
      <c r="B175" t="s">
        <v>479</v>
      </c>
      <c r="C175" t="s">
        <v>540</v>
      </c>
      <c r="D175" t="s">
        <v>541</v>
      </c>
      <c r="E175" t="s">
        <v>98</v>
      </c>
      <c r="F175" t="s">
        <v>542</v>
      </c>
      <c r="G175" t="s">
        <v>543</v>
      </c>
      <c r="H175">
        <v>1</v>
      </c>
      <c r="I175" t="s">
        <v>544</v>
      </c>
      <c r="J175">
        <v>4</v>
      </c>
      <c r="K175" t="s">
        <v>551</v>
      </c>
      <c r="L175" t="s">
        <v>552</v>
      </c>
      <c r="M175" s="1">
        <f t="shared" si="2"/>
        <v>1</v>
      </c>
      <c r="N175" t="str" cm="1">
        <f t="array" ref="N175">_xlfn.SWITCH(M175,12,"Fix now",11,"Fix now",10,"Fix now",9,"Fix now",8,"Plan",7,"Plan",6,"Plan",5,"Plan",4,"Accept",3,"Accept",2,"Accept",1,"Accept",0,"Accept")</f>
        <v>Accept</v>
      </c>
      <c r="O175" s="5" t="s">
        <v>788</v>
      </c>
      <c r="P175" s="5" t="s">
        <v>1025</v>
      </c>
      <c r="Q175" t="s">
        <v>802</v>
      </c>
      <c r="R175" s="5" t="s">
        <v>1026</v>
      </c>
    </row>
    <row r="176" spans="1:18" ht="43.2" x14ac:dyDescent="0.3">
      <c r="A176" t="s">
        <v>478</v>
      </c>
      <c r="B176" t="s">
        <v>479</v>
      </c>
      <c r="C176" t="s">
        <v>540</v>
      </c>
      <c r="D176" t="s">
        <v>541</v>
      </c>
      <c r="E176" t="s">
        <v>98</v>
      </c>
      <c r="F176" t="s">
        <v>542</v>
      </c>
      <c r="G176" t="s">
        <v>543</v>
      </c>
      <c r="H176">
        <v>1</v>
      </c>
      <c r="I176" t="s">
        <v>544</v>
      </c>
      <c r="J176">
        <v>5</v>
      </c>
      <c r="K176" t="s">
        <v>553</v>
      </c>
      <c r="L176" t="s">
        <v>554</v>
      </c>
      <c r="M176" s="1">
        <f t="shared" si="2"/>
        <v>0</v>
      </c>
      <c r="N176" t="str" cm="1">
        <f t="array" ref="N176">_xlfn.SWITCH(M176,12,"Fix now",11,"Fix now",10,"Fix now",9,"Fix now",8,"Plan",7,"Plan",6,"Plan",5,"Plan",4,"Accept",3,"Accept",2,"Accept",1,"Accept",0,"Accept")</f>
        <v>Accept</v>
      </c>
      <c r="O176" s="5" t="s">
        <v>788</v>
      </c>
      <c r="P176" s="5" t="s">
        <v>1025</v>
      </c>
      <c r="Q176" t="s">
        <v>802</v>
      </c>
      <c r="R176" s="5" t="s">
        <v>1026</v>
      </c>
    </row>
    <row r="177" spans="1:18" ht="43.2" x14ac:dyDescent="0.3">
      <c r="A177" t="s">
        <v>555</v>
      </c>
      <c r="B177" t="s">
        <v>556</v>
      </c>
      <c r="C177" t="s">
        <v>557</v>
      </c>
      <c r="D177" t="s">
        <v>119</v>
      </c>
      <c r="E177" t="s">
        <v>136</v>
      </c>
      <c r="F177" t="s">
        <v>558</v>
      </c>
      <c r="G177" t="s">
        <v>559</v>
      </c>
      <c r="H177">
        <v>3</v>
      </c>
      <c r="I177" t="s">
        <v>560</v>
      </c>
      <c r="J177">
        <v>1</v>
      </c>
      <c r="K177" t="s">
        <v>561</v>
      </c>
      <c r="L177" t="s">
        <v>562</v>
      </c>
      <c r="M177" s="1">
        <f t="shared" si="2"/>
        <v>12</v>
      </c>
      <c r="N177" t="str" cm="1">
        <f t="array" ref="N177">_xlfn.SWITCH(M177,12,"Fix now",11,"Fix now",10,"Fix now",9,"Fix now",8,"Plan",7,"Plan",6,"Plan",5,"Plan",4,"Accept",3,"Accept",2,"Accept",1,"Accept",0,"Accept")</f>
        <v>Fix now</v>
      </c>
      <c r="O177" s="5" t="s">
        <v>792</v>
      </c>
      <c r="P177" s="5" t="s">
        <v>1027</v>
      </c>
      <c r="Q177" t="s">
        <v>790</v>
      </c>
      <c r="R177" s="5" t="s">
        <v>1028</v>
      </c>
    </row>
    <row r="178" spans="1:18" ht="43.2" x14ac:dyDescent="0.3">
      <c r="A178" t="s">
        <v>555</v>
      </c>
      <c r="B178" t="s">
        <v>556</v>
      </c>
      <c r="C178" t="s">
        <v>557</v>
      </c>
      <c r="D178" t="s">
        <v>119</v>
      </c>
      <c r="E178" t="s">
        <v>136</v>
      </c>
      <c r="F178" t="s">
        <v>558</v>
      </c>
      <c r="G178" t="s">
        <v>559</v>
      </c>
      <c r="H178">
        <v>3</v>
      </c>
      <c r="I178" t="s">
        <v>560</v>
      </c>
      <c r="J178">
        <v>2</v>
      </c>
      <c r="K178" t="s">
        <v>563</v>
      </c>
      <c r="L178" t="s">
        <v>564</v>
      </c>
      <c r="M178" s="1">
        <f t="shared" si="2"/>
        <v>9</v>
      </c>
      <c r="N178" t="str" cm="1">
        <f t="array" ref="N178">_xlfn.SWITCH(M178,12,"Fix now",11,"Fix now",10,"Fix now",9,"Fix now",8,"Plan",7,"Plan",6,"Plan",5,"Plan",4,"Accept",3,"Accept",2,"Accept",1,"Accept",0,"Accept")</f>
        <v>Fix now</v>
      </c>
      <c r="O178" s="5" t="s">
        <v>807</v>
      </c>
      <c r="P178" s="5" t="s">
        <v>820</v>
      </c>
      <c r="Q178" t="s">
        <v>794</v>
      </c>
      <c r="R178" s="5" t="s">
        <v>1029</v>
      </c>
    </row>
    <row r="179" spans="1:18" ht="43.2" x14ac:dyDescent="0.3">
      <c r="A179" t="s">
        <v>555</v>
      </c>
      <c r="B179" t="s">
        <v>556</v>
      </c>
      <c r="C179" t="s">
        <v>557</v>
      </c>
      <c r="D179" t="s">
        <v>119</v>
      </c>
      <c r="E179" t="s">
        <v>136</v>
      </c>
      <c r="F179" t="s">
        <v>558</v>
      </c>
      <c r="G179" t="s">
        <v>559</v>
      </c>
      <c r="H179">
        <v>3</v>
      </c>
      <c r="I179" t="s">
        <v>560</v>
      </c>
      <c r="J179">
        <v>3</v>
      </c>
      <c r="K179" t="s">
        <v>565</v>
      </c>
      <c r="L179" t="s">
        <v>566</v>
      </c>
      <c r="M179" s="1">
        <f t="shared" si="2"/>
        <v>6</v>
      </c>
      <c r="N179" t="str" cm="1">
        <f t="array" ref="N179">_xlfn.SWITCH(M179,12,"Fix now",11,"Fix now",10,"Fix now",9,"Fix now",8,"Plan",7,"Plan",6,"Plan",5,"Plan",4,"Accept",3,"Accept",2,"Accept",1,"Accept",0,"Accept")</f>
        <v>Plan</v>
      </c>
      <c r="O179" s="5" t="s">
        <v>788</v>
      </c>
      <c r="P179" s="5" t="s">
        <v>822</v>
      </c>
      <c r="Q179" t="s">
        <v>798</v>
      </c>
      <c r="R179" s="5" t="s">
        <v>1030</v>
      </c>
    </row>
    <row r="180" spans="1:18" ht="43.2" x14ac:dyDescent="0.3">
      <c r="A180" t="s">
        <v>555</v>
      </c>
      <c r="B180" t="s">
        <v>556</v>
      </c>
      <c r="C180" t="s">
        <v>557</v>
      </c>
      <c r="D180" t="s">
        <v>119</v>
      </c>
      <c r="E180" t="s">
        <v>136</v>
      </c>
      <c r="F180" t="s">
        <v>558</v>
      </c>
      <c r="G180" t="s">
        <v>559</v>
      </c>
      <c r="H180">
        <v>3</v>
      </c>
      <c r="I180" t="s">
        <v>560</v>
      </c>
      <c r="J180">
        <v>4</v>
      </c>
      <c r="K180" t="s">
        <v>567</v>
      </c>
      <c r="L180" t="s">
        <v>568</v>
      </c>
      <c r="M180" s="1">
        <f t="shared" si="2"/>
        <v>3</v>
      </c>
      <c r="N180" t="str" cm="1">
        <f t="array" ref="N180">_xlfn.SWITCH(M180,12,"Fix now",11,"Fix now",10,"Fix now",9,"Fix now",8,"Plan",7,"Plan",6,"Plan",5,"Plan",4,"Accept",3,"Accept",2,"Accept",1,"Accept",0,"Accept")</f>
        <v>Accept</v>
      </c>
      <c r="O180" s="5" t="s">
        <v>788</v>
      </c>
      <c r="P180" s="5" t="s">
        <v>824</v>
      </c>
      <c r="Q180" t="s">
        <v>802</v>
      </c>
      <c r="R180" s="5" t="s">
        <v>1031</v>
      </c>
    </row>
    <row r="181" spans="1:18" ht="43.2" x14ac:dyDescent="0.3">
      <c r="A181" t="s">
        <v>555</v>
      </c>
      <c r="B181" t="s">
        <v>556</v>
      </c>
      <c r="C181" t="s">
        <v>557</v>
      </c>
      <c r="D181" t="s">
        <v>119</v>
      </c>
      <c r="E181" t="s">
        <v>136</v>
      </c>
      <c r="F181" t="s">
        <v>558</v>
      </c>
      <c r="G181" t="s">
        <v>559</v>
      </c>
      <c r="H181">
        <v>3</v>
      </c>
      <c r="I181" t="s">
        <v>560</v>
      </c>
      <c r="J181">
        <v>5</v>
      </c>
      <c r="K181" t="s">
        <v>569</v>
      </c>
      <c r="L181" t="s">
        <v>70</v>
      </c>
      <c r="M181" s="1">
        <f t="shared" si="2"/>
        <v>0</v>
      </c>
      <c r="N181" t="str" cm="1">
        <f t="array" ref="N181">_xlfn.SWITCH(M181,12,"Fix now",11,"Fix now",10,"Fix now",9,"Fix now",8,"Plan",7,"Plan",6,"Plan",5,"Plan",4,"Accept",3,"Accept",2,"Accept",1,"Accept",0,"Accept")</f>
        <v>Accept</v>
      </c>
      <c r="O181" s="5" t="s">
        <v>788</v>
      </c>
      <c r="P181" s="5" t="s">
        <v>824</v>
      </c>
      <c r="Q181" t="s">
        <v>802</v>
      </c>
      <c r="R181" s="5" t="s">
        <v>1031</v>
      </c>
    </row>
    <row r="182" spans="1:18" ht="43.2" x14ac:dyDescent="0.3">
      <c r="A182" t="s">
        <v>555</v>
      </c>
      <c r="B182" t="s">
        <v>556</v>
      </c>
      <c r="C182" t="s">
        <v>570</v>
      </c>
      <c r="D182" t="s">
        <v>571</v>
      </c>
      <c r="E182" t="s">
        <v>136</v>
      </c>
      <c r="F182" t="s">
        <v>572</v>
      </c>
      <c r="G182" t="s">
        <v>573</v>
      </c>
      <c r="H182">
        <v>3</v>
      </c>
      <c r="I182" t="s">
        <v>574</v>
      </c>
      <c r="J182">
        <v>1</v>
      </c>
      <c r="K182" t="s">
        <v>575</v>
      </c>
      <c r="L182" t="s">
        <v>576</v>
      </c>
      <c r="M182" s="1">
        <f t="shared" si="2"/>
        <v>12</v>
      </c>
      <c r="N182" t="str" cm="1">
        <f t="array" ref="N182">_xlfn.SWITCH(M182,12,"Fix now",11,"Fix now",10,"Fix now",9,"Fix now",8,"Plan",7,"Plan",6,"Plan",5,"Plan",4,"Accept",3,"Accept",2,"Accept",1,"Accept",0,"Accept")</f>
        <v>Fix now</v>
      </c>
      <c r="O182" s="5" t="s">
        <v>788</v>
      </c>
      <c r="P182" s="5" t="s">
        <v>1032</v>
      </c>
      <c r="Q182" t="s">
        <v>790</v>
      </c>
      <c r="R182" s="5" t="s">
        <v>1033</v>
      </c>
    </row>
    <row r="183" spans="1:18" ht="43.2" x14ac:dyDescent="0.3">
      <c r="A183" t="s">
        <v>555</v>
      </c>
      <c r="B183" t="s">
        <v>556</v>
      </c>
      <c r="C183" t="s">
        <v>570</v>
      </c>
      <c r="D183" t="s">
        <v>571</v>
      </c>
      <c r="E183" t="s">
        <v>136</v>
      </c>
      <c r="F183" t="s">
        <v>572</v>
      </c>
      <c r="G183" t="s">
        <v>573</v>
      </c>
      <c r="H183">
        <v>3</v>
      </c>
      <c r="I183" t="s">
        <v>574</v>
      </c>
      <c r="J183">
        <v>2</v>
      </c>
      <c r="K183" t="s">
        <v>577</v>
      </c>
      <c r="L183" t="s">
        <v>578</v>
      </c>
      <c r="M183" s="1">
        <f t="shared" si="2"/>
        <v>9</v>
      </c>
      <c r="N183" t="str" cm="1">
        <f t="array" ref="N183">_xlfn.SWITCH(M183,12,"Fix now",11,"Fix now",10,"Fix now",9,"Fix now",8,"Plan",7,"Plan",6,"Plan",5,"Plan",4,"Accept",3,"Accept",2,"Accept",1,"Accept",0,"Accept")</f>
        <v>Fix now</v>
      </c>
      <c r="O183" s="5" t="s">
        <v>788</v>
      </c>
      <c r="P183" s="5" t="s">
        <v>1034</v>
      </c>
      <c r="Q183" t="s">
        <v>794</v>
      </c>
      <c r="R183" s="5" t="s">
        <v>1035</v>
      </c>
    </row>
    <row r="184" spans="1:18" ht="43.2" x14ac:dyDescent="0.3">
      <c r="A184" t="s">
        <v>555</v>
      </c>
      <c r="B184" t="s">
        <v>556</v>
      </c>
      <c r="C184" t="s">
        <v>570</v>
      </c>
      <c r="D184" t="s">
        <v>571</v>
      </c>
      <c r="E184" t="s">
        <v>136</v>
      </c>
      <c r="F184" t="s">
        <v>572</v>
      </c>
      <c r="G184" t="s">
        <v>573</v>
      </c>
      <c r="H184">
        <v>3</v>
      </c>
      <c r="I184" t="s">
        <v>574</v>
      </c>
      <c r="J184">
        <v>3</v>
      </c>
      <c r="K184" t="s">
        <v>579</v>
      </c>
      <c r="L184" t="s">
        <v>580</v>
      </c>
      <c r="M184" s="1">
        <f t="shared" si="2"/>
        <v>6</v>
      </c>
      <c r="N184" t="str" cm="1">
        <f t="array" ref="N184">_xlfn.SWITCH(M184,12,"Fix now",11,"Fix now",10,"Fix now",9,"Fix now",8,"Plan",7,"Plan",6,"Plan",5,"Plan",4,"Accept",3,"Accept",2,"Accept",1,"Accept",0,"Accept")</f>
        <v>Plan</v>
      </c>
      <c r="O184" s="5" t="s">
        <v>788</v>
      </c>
      <c r="P184" s="5" t="s">
        <v>1036</v>
      </c>
      <c r="Q184" t="s">
        <v>798</v>
      </c>
      <c r="R184" s="5" t="s">
        <v>1037</v>
      </c>
    </row>
    <row r="185" spans="1:18" ht="43.2" x14ac:dyDescent="0.3">
      <c r="A185" t="s">
        <v>555</v>
      </c>
      <c r="B185" t="s">
        <v>556</v>
      </c>
      <c r="C185" t="s">
        <v>570</v>
      </c>
      <c r="D185" t="s">
        <v>571</v>
      </c>
      <c r="E185" t="s">
        <v>136</v>
      </c>
      <c r="F185" t="s">
        <v>572</v>
      </c>
      <c r="G185" t="s">
        <v>573</v>
      </c>
      <c r="H185">
        <v>3</v>
      </c>
      <c r="I185" t="s">
        <v>574</v>
      </c>
      <c r="J185">
        <v>4</v>
      </c>
      <c r="K185" t="s">
        <v>581</v>
      </c>
      <c r="L185" t="s">
        <v>582</v>
      </c>
      <c r="M185" s="1">
        <f t="shared" si="2"/>
        <v>3</v>
      </c>
      <c r="N185" t="str" cm="1">
        <f t="array" ref="N185">_xlfn.SWITCH(M185,12,"Fix now",11,"Fix now",10,"Fix now",9,"Fix now",8,"Plan",7,"Plan",6,"Plan",5,"Plan",4,"Accept",3,"Accept",2,"Accept",1,"Accept",0,"Accept")</f>
        <v>Accept</v>
      </c>
      <c r="O185" s="5" t="s">
        <v>788</v>
      </c>
      <c r="P185" s="5" t="s">
        <v>1038</v>
      </c>
      <c r="Q185" t="s">
        <v>802</v>
      </c>
      <c r="R185" s="5" t="s">
        <v>1039</v>
      </c>
    </row>
    <row r="186" spans="1:18" ht="43.2" x14ac:dyDescent="0.3">
      <c r="A186" t="s">
        <v>555</v>
      </c>
      <c r="B186" t="s">
        <v>556</v>
      </c>
      <c r="C186" t="s">
        <v>570</v>
      </c>
      <c r="D186" t="s">
        <v>571</v>
      </c>
      <c r="E186" t="s">
        <v>136</v>
      </c>
      <c r="F186" t="s">
        <v>572</v>
      </c>
      <c r="G186" t="s">
        <v>573</v>
      </c>
      <c r="H186">
        <v>3</v>
      </c>
      <c r="I186" t="s">
        <v>574</v>
      </c>
      <c r="J186">
        <v>5</v>
      </c>
      <c r="K186" t="s">
        <v>583</v>
      </c>
      <c r="L186" t="s">
        <v>584</v>
      </c>
      <c r="M186" s="1">
        <f t="shared" si="2"/>
        <v>0</v>
      </c>
      <c r="N186" t="str" cm="1">
        <f t="array" ref="N186">_xlfn.SWITCH(M186,12,"Fix now",11,"Fix now",10,"Fix now",9,"Fix now",8,"Plan",7,"Plan",6,"Plan",5,"Plan",4,"Accept",3,"Accept",2,"Accept",1,"Accept",0,"Accept")</f>
        <v>Accept</v>
      </c>
      <c r="O186" s="5" t="s">
        <v>788</v>
      </c>
      <c r="P186" s="5" t="s">
        <v>1038</v>
      </c>
      <c r="Q186" t="s">
        <v>802</v>
      </c>
      <c r="R186" s="5" t="s">
        <v>1039</v>
      </c>
    </row>
    <row r="187" spans="1:18" ht="43.2" x14ac:dyDescent="0.3">
      <c r="A187" t="s">
        <v>555</v>
      </c>
      <c r="B187" t="s">
        <v>556</v>
      </c>
      <c r="C187" t="s">
        <v>585</v>
      </c>
      <c r="D187" t="s">
        <v>586</v>
      </c>
      <c r="E187" t="s">
        <v>136</v>
      </c>
      <c r="F187" t="s">
        <v>587</v>
      </c>
      <c r="G187" t="s">
        <v>588</v>
      </c>
      <c r="H187">
        <v>2</v>
      </c>
      <c r="I187" t="s">
        <v>589</v>
      </c>
      <c r="J187">
        <v>1</v>
      </c>
      <c r="K187" t="s">
        <v>590</v>
      </c>
      <c r="L187" t="s">
        <v>591</v>
      </c>
      <c r="M187" s="1">
        <f t="shared" si="2"/>
        <v>8</v>
      </c>
      <c r="N187" t="str" cm="1">
        <f t="array" ref="N187">_xlfn.SWITCH(M187,12,"Fix now",11,"Fix now",10,"Fix now",9,"Fix now",8,"Plan",7,"Plan",6,"Plan",5,"Plan",4,"Accept",3,"Accept",2,"Accept",1,"Accept",0,"Accept")</f>
        <v>Plan</v>
      </c>
      <c r="O187" s="5" t="s">
        <v>788</v>
      </c>
      <c r="P187" s="5" t="s">
        <v>1040</v>
      </c>
      <c r="Q187" t="s">
        <v>794</v>
      </c>
      <c r="R187" s="5" t="s">
        <v>1041</v>
      </c>
    </row>
    <row r="188" spans="1:18" ht="43.2" x14ac:dyDescent="0.3">
      <c r="A188" t="s">
        <v>555</v>
      </c>
      <c r="B188" t="s">
        <v>556</v>
      </c>
      <c r="C188" t="s">
        <v>585</v>
      </c>
      <c r="D188" t="s">
        <v>586</v>
      </c>
      <c r="E188" t="s">
        <v>136</v>
      </c>
      <c r="F188" t="s">
        <v>587</v>
      </c>
      <c r="G188" t="s">
        <v>588</v>
      </c>
      <c r="H188">
        <v>2</v>
      </c>
      <c r="I188" t="s">
        <v>589</v>
      </c>
      <c r="J188">
        <v>2</v>
      </c>
      <c r="K188" t="s">
        <v>592</v>
      </c>
      <c r="L188" t="s">
        <v>593</v>
      </c>
      <c r="M188" s="1">
        <f t="shared" si="2"/>
        <v>6</v>
      </c>
      <c r="N188" t="str" cm="1">
        <f t="array" ref="N188">_xlfn.SWITCH(M188,12,"Fix now",11,"Fix now",10,"Fix now",9,"Fix now",8,"Plan",7,"Plan",6,"Plan",5,"Plan",4,"Accept",3,"Accept",2,"Accept",1,"Accept",0,"Accept")</f>
        <v>Plan</v>
      </c>
      <c r="O188" s="5" t="s">
        <v>788</v>
      </c>
      <c r="P188" s="5" t="s">
        <v>1042</v>
      </c>
      <c r="Q188" t="s">
        <v>798</v>
      </c>
      <c r="R188" s="5" t="s">
        <v>1043</v>
      </c>
    </row>
    <row r="189" spans="1:18" ht="43.2" x14ac:dyDescent="0.3">
      <c r="A189" t="s">
        <v>555</v>
      </c>
      <c r="B189" t="s">
        <v>556</v>
      </c>
      <c r="C189" t="s">
        <v>585</v>
      </c>
      <c r="D189" t="s">
        <v>586</v>
      </c>
      <c r="E189" t="s">
        <v>136</v>
      </c>
      <c r="F189" t="s">
        <v>587</v>
      </c>
      <c r="G189" t="s">
        <v>588</v>
      </c>
      <c r="H189">
        <v>2</v>
      </c>
      <c r="I189" t="s">
        <v>589</v>
      </c>
      <c r="J189">
        <v>3</v>
      </c>
      <c r="K189" t="s">
        <v>594</v>
      </c>
      <c r="L189" t="s">
        <v>595</v>
      </c>
      <c r="M189" s="1">
        <f t="shared" si="2"/>
        <v>4</v>
      </c>
      <c r="N189" t="str" cm="1">
        <f t="array" ref="N189">_xlfn.SWITCH(M189,12,"Fix now",11,"Fix now",10,"Fix now",9,"Fix now",8,"Plan",7,"Plan",6,"Plan",5,"Plan",4,"Accept",3,"Accept",2,"Accept",1,"Accept",0,"Accept")</f>
        <v>Accept</v>
      </c>
      <c r="O189" s="5" t="s">
        <v>796</v>
      </c>
      <c r="P189" s="5" t="s">
        <v>1042</v>
      </c>
      <c r="Q189" t="s">
        <v>798</v>
      </c>
      <c r="R189" s="5" t="s">
        <v>1043</v>
      </c>
    </row>
    <row r="190" spans="1:18" ht="43.2" x14ac:dyDescent="0.3">
      <c r="A190" t="s">
        <v>555</v>
      </c>
      <c r="B190" t="s">
        <v>556</v>
      </c>
      <c r="C190" t="s">
        <v>585</v>
      </c>
      <c r="D190" t="s">
        <v>586</v>
      </c>
      <c r="E190" t="s">
        <v>136</v>
      </c>
      <c r="F190" t="s">
        <v>587</v>
      </c>
      <c r="G190" t="s">
        <v>588</v>
      </c>
      <c r="H190">
        <v>2</v>
      </c>
      <c r="I190" t="s">
        <v>589</v>
      </c>
      <c r="J190">
        <v>4</v>
      </c>
      <c r="K190" t="s">
        <v>596</v>
      </c>
      <c r="L190" t="s">
        <v>597</v>
      </c>
      <c r="M190" s="1">
        <f t="shared" si="2"/>
        <v>2</v>
      </c>
      <c r="N190" t="str" cm="1">
        <f t="array" ref="N190">_xlfn.SWITCH(M190,12,"Fix now",11,"Fix now",10,"Fix now",9,"Fix now",8,"Plan",7,"Plan",6,"Plan",5,"Plan",4,"Accept",3,"Accept",2,"Accept",1,"Accept",0,"Accept")</f>
        <v>Accept</v>
      </c>
      <c r="O190" s="5" t="s">
        <v>788</v>
      </c>
      <c r="P190" s="5" t="s">
        <v>1044</v>
      </c>
      <c r="Q190" t="s">
        <v>802</v>
      </c>
      <c r="R190" s="5" t="s">
        <v>1045</v>
      </c>
    </row>
    <row r="191" spans="1:18" ht="43.2" x14ac:dyDescent="0.3">
      <c r="A191" t="s">
        <v>555</v>
      </c>
      <c r="B191" t="s">
        <v>556</v>
      </c>
      <c r="C191" t="s">
        <v>585</v>
      </c>
      <c r="D191" t="s">
        <v>586</v>
      </c>
      <c r="E191" t="s">
        <v>136</v>
      </c>
      <c r="F191" t="s">
        <v>587</v>
      </c>
      <c r="G191" t="s">
        <v>588</v>
      </c>
      <c r="H191">
        <v>2</v>
      </c>
      <c r="I191" t="s">
        <v>589</v>
      </c>
      <c r="J191">
        <v>5</v>
      </c>
      <c r="K191" t="s">
        <v>598</v>
      </c>
      <c r="L191" t="s">
        <v>599</v>
      </c>
      <c r="M191" s="1">
        <f t="shared" si="2"/>
        <v>0</v>
      </c>
      <c r="N191" t="str" cm="1">
        <f t="array" ref="N191">_xlfn.SWITCH(M191,12,"Fix now",11,"Fix now",10,"Fix now",9,"Fix now",8,"Plan",7,"Plan",6,"Plan",5,"Plan",4,"Accept",3,"Accept",2,"Accept",1,"Accept",0,"Accept")</f>
        <v>Accept</v>
      </c>
      <c r="O191" s="5" t="s">
        <v>788</v>
      </c>
      <c r="P191" s="5" t="s">
        <v>1044</v>
      </c>
      <c r="Q191" t="s">
        <v>802</v>
      </c>
      <c r="R191" s="5" t="s">
        <v>1045</v>
      </c>
    </row>
    <row r="192" spans="1:18" ht="43.2" x14ac:dyDescent="0.3">
      <c r="A192" t="s">
        <v>555</v>
      </c>
      <c r="B192" t="s">
        <v>556</v>
      </c>
      <c r="C192" t="s">
        <v>600</v>
      </c>
      <c r="D192" t="s">
        <v>601</v>
      </c>
      <c r="E192" t="s">
        <v>136</v>
      </c>
      <c r="F192" t="s">
        <v>602</v>
      </c>
      <c r="G192" t="s">
        <v>603</v>
      </c>
      <c r="H192">
        <v>2</v>
      </c>
      <c r="I192" t="s">
        <v>604</v>
      </c>
      <c r="J192">
        <v>1</v>
      </c>
      <c r="K192" t="s">
        <v>605</v>
      </c>
      <c r="L192" t="s">
        <v>606</v>
      </c>
      <c r="M192" s="1">
        <f t="shared" si="2"/>
        <v>8</v>
      </c>
      <c r="N192" t="str" cm="1">
        <f t="array" ref="N192">_xlfn.SWITCH(M192,12,"Fix now",11,"Fix now",10,"Fix now",9,"Fix now",8,"Plan",7,"Plan",6,"Plan",5,"Plan",4,"Accept",3,"Accept",2,"Accept",1,"Accept",0,"Accept")</f>
        <v>Plan</v>
      </c>
      <c r="O192" s="5" t="s">
        <v>792</v>
      </c>
      <c r="P192" s="5" t="s">
        <v>1046</v>
      </c>
      <c r="Q192" t="s">
        <v>794</v>
      </c>
      <c r="R192" s="5" t="s">
        <v>1047</v>
      </c>
    </row>
    <row r="193" spans="1:18" ht="43.2" x14ac:dyDescent="0.3">
      <c r="A193" t="s">
        <v>555</v>
      </c>
      <c r="B193" t="s">
        <v>556</v>
      </c>
      <c r="C193" t="s">
        <v>600</v>
      </c>
      <c r="D193" t="s">
        <v>601</v>
      </c>
      <c r="E193" t="s">
        <v>136</v>
      </c>
      <c r="F193" t="s">
        <v>602</v>
      </c>
      <c r="G193" t="s">
        <v>603</v>
      </c>
      <c r="H193">
        <v>2</v>
      </c>
      <c r="I193" t="s">
        <v>604</v>
      </c>
      <c r="J193">
        <v>2</v>
      </c>
      <c r="K193" t="s">
        <v>607</v>
      </c>
      <c r="L193" t="s">
        <v>608</v>
      </c>
      <c r="M193" s="1">
        <f t="shared" si="2"/>
        <v>6</v>
      </c>
      <c r="N193" t="str" cm="1">
        <f t="array" ref="N193">_xlfn.SWITCH(M193,12,"Fix now",11,"Fix now",10,"Fix now",9,"Fix now",8,"Plan",7,"Plan",6,"Plan",5,"Plan",4,"Accept",3,"Accept",2,"Accept",1,"Accept",0,"Accept")</f>
        <v>Plan</v>
      </c>
      <c r="O193" s="5" t="s">
        <v>788</v>
      </c>
      <c r="P193" s="5" t="s">
        <v>1048</v>
      </c>
      <c r="Q193" t="s">
        <v>798</v>
      </c>
      <c r="R193" s="5" t="s">
        <v>1049</v>
      </c>
    </row>
    <row r="194" spans="1:18" ht="43.2" x14ac:dyDescent="0.3">
      <c r="A194" t="s">
        <v>555</v>
      </c>
      <c r="B194" t="s">
        <v>556</v>
      </c>
      <c r="C194" t="s">
        <v>600</v>
      </c>
      <c r="D194" t="s">
        <v>601</v>
      </c>
      <c r="E194" t="s">
        <v>136</v>
      </c>
      <c r="F194" t="s">
        <v>602</v>
      </c>
      <c r="G194" t="s">
        <v>603</v>
      </c>
      <c r="H194">
        <v>2</v>
      </c>
      <c r="I194" t="s">
        <v>604</v>
      </c>
      <c r="J194">
        <v>3</v>
      </c>
      <c r="K194" t="s">
        <v>609</v>
      </c>
      <c r="L194" t="s">
        <v>610</v>
      </c>
      <c r="M194" s="1">
        <f t="shared" si="2"/>
        <v>4</v>
      </c>
      <c r="N194" t="str" cm="1">
        <f t="array" ref="N194">_xlfn.SWITCH(M194,12,"Fix now",11,"Fix now",10,"Fix now",9,"Fix now",8,"Plan",7,"Plan",6,"Plan",5,"Plan",4,"Accept",3,"Accept",2,"Accept",1,"Accept",0,"Accept")</f>
        <v>Accept</v>
      </c>
      <c r="O194" s="5" t="s">
        <v>796</v>
      </c>
      <c r="P194" s="5" t="s">
        <v>1048</v>
      </c>
      <c r="Q194" t="s">
        <v>798</v>
      </c>
      <c r="R194" s="5" t="s">
        <v>1049</v>
      </c>
    </row>
    <row r="195" spans="1:18" ht="43.2" x14ac:dyDescent="0.3">
      <c r="A195" t="s">
        <v>555</v>
      </c>
      <c r="B195" t="s">
        <v>556</v>
      </c>
      <c r="C195" t="s">
        <v>600</v>
      </c>
      <c r="D195" t="s">
        <v>601</v>
      </c>
      <c r="E195" t="s">
        <v>136</v>
      </c>
      <c r="F195" t="s">
        <v>602</v>
      </c>
      <c r="G195" t="s">
        <v>603</v>
      </c>
      <c r="H195">
        <v>2</v>
      </c>
      <c r="I195" t="s">
        <v>604</v>
      </c>
      <c r="J195">
        <v>4</v>
      </c>
      <c r="K195" t="s">
        <v>611</v>
      </c>
      <c r="L195" t="s">
        <v>612</v>
      </c>
      <c r="M195" s="1">
        <f t="shared" ref="M195:M251" si="3">(5-$J195)*H195</f>
        <v>2</v>
      </c>
      <c r="N195" t="str" cm="1">
        <f t="array" ref="N195">_xlfn.SWITCH(M195,12,"Fix now",11,"Fix now",10,"Fix now",9,"Fix now",8,"Plan",7,"Plan",6,"Plan",5,"Plan",4,"Accept",3,"Accept",2,"Accept",1,"Accept",0,"Accept")</f>
        <v>Accept</v>
      </c>
      <c r="O195" s="5" t="s">
        <v>788</v>
      </c>
      <c r="P195" s="5" t="s">
        <v>1050</v>
      </c>
      <c r="Q195" t="s">
        <v>802</v>
      </c>
      <c r="R195" s="5" t="s">
        <v>1051</v>
      </c>
    </row>
    <row r="196" spans="1:18" ht="43.2" x14ac:dyDescent="0.3">
      <c r="A196" t="s">
        <v>555</v>
      </c>
      <c r="B196" t="s">
        <v>556</v>
      </c>
      <c r="C196" t="s">
        <v>600</v>
      </c>
      <c r="D196" t="s">
        <v>601</v>
      </c>
      <c r="E196" t="s">
        <v>136</v>
      </c>
      <c r="F196" t="s">
        <v>602</v>
      </c>
      <c r="G196" t="s">
        <v>603</v>
      </c>
      <c r="H196">
        <v>2</v>
      </c>
      <c r="I196" t="s">
        <v>604</v>
      </c>
      <c r="J196">
        <v>5</v>
      </c>
      <c r="K196" t="s">
        <v>613</v>
      </c>
      <c r="L196" t="s">
        <v>614</v>
      </c>
      <c r="M196" s="1">
        <f t="shared" si="3"/>
        <v>0</v>
      </c>
      <c r="N196" t="str" cm="1">
        <f t="array" ref="N196">_xlfn.SWITCH(M196,12,"Fix now",11,"Fix now",10,"Fix now",9,"Fix now",8,"Plan",7,"Plan",6,"Plan",5,"Plan",4,"Accept",3,"Accept",2,"Accept",1,"Accept",0,"Accept")</f>
        <v>Accept</v>
      </c>
      <c r="O196" s="5" t="s">
        <v>788</v>
      </c>
      <c r="P196" s="5" t="s">
        <v>1050</v>
      </c>
      <c r="Q196" t="s">
        <v>802</v>
      </c>
      <c r="R196" s="5" t="s">
        <v>1051</v>
      </c>
    </row>
    <row r="197" spans="1:18" ht="43.2" x14ac:dyDescent="0.3">
      <c r="A197" t="s">
        <v>555</v>
      </c>
      <c r="B197" t="s">
        <v>556</v>
      </c>
      <c r="C197" t="s">
        <v>615</v>
      </c>
      <c r="D197" t="s">
        <v>616</v>
      </c>
      <c r="E197" t="s">
        <v>136</v>
      </c>
      <c r="F197" t="s">
        <v>617</v>
      </c>
      <c r="G197" t="s">
        <v>618</v>
      </c>
      <c r="H197">
        <v>1</v>
      </c>
      <c r="I197" t="s">
        <v>619</v>
      </c>
      <c r="J197">
        <v>1</v>
      </c>
      <c r="K197" t="s">
        <v>620</v>
      </c>
      <c r="L197" t="s">
        <v>621</v>
      </c>
      <c r="M197" s="1">
        <f t="shared" si="3"/>
        <v>4</v>
      </c>
      <c r="N197" t="str" cm="1">
        <f t="array" ref="N197">_xlfn.SWITCH(M197,12,"Fix now",11,"Fix now",10,"Fix now",9,"Fix now",8,"Plan",7,"Plan",6,"Plan",5,"Plan",4,"Accept",3,"Accept",2,"Accept",1,"Accept",0,"Accept")</f>
        <v>Accept</v>
      </c>
      <c r="O197" s="5" t="s">
        <v>792</v>
      </c>
      <c r="P197" s="5" t="s">
        <v>1052</v>
      </c>
      <c r="Q197" t="s">
        <v>798</v>
      </c>
      <c r="R197" s="5" t="s">
        <v>1053</v>
      </c>
    </row>
    <row r="198" spans="1:18" ht="43.2" x14ac:dyDescent="0.3">
      <c r="A198" t="s">
        <v>555</v>
      </c>
      <c r="B198" t="s">
        <v>556</v>
      </c>
      <c r="C198" t="s">
        <v>615</v>
      </c>
      <c r="D198" t="s">
        <v>616</v>
      </c>
      <c r="E198" t="s">
        <v>136</v>
      </c>
      <c r="F198" t="s">
        <v>617</v>
      </c>
      <c r="G198" t="s">
        <v>618</v>
      </c>
      <c r="H198">
        <v>1</v>
      </c>
      <c r="I198" t="s">
        <v>619</v>
      </c>
      <c r="J198">
        <v>2</v>
      </c>
      <c r="K198" t="s">
        <v>622</v>
      </c>
      <c r="L198" t="s">
        <v>623</v>
      </c>
      <c r="M198" s="1">
        <f t="shared" si="3"/>
        <v>3</v>
      </c>
      <c r="N198" t="str" cm="1">
        <f t="array" ref="N198">_xlfn.SWITCH(M198,12,"Fix now",11,"Fix now",10,"Fix now",9,"Fix now",8,"Plan",7,"Plan",6,"Plan",5,"Plan",4,"Accept",3,"Accept",2,"Accept",1,"Accept",0,"Accept")</f>
        <v>Accept</v>
      </c>
      <c r="O198" s="5" t="s">
        <v>788</v>
      </c>
      <c r="P198" s="5" t="s">
        <v>1054</v>
      </c>
      <c r="Q198" t="s">
        <v>802</v>
      </c>
      <c r="R198" s="5" t="s">
        <v>1055</v>
      </c>
    </row>
    <row r="199" spans="1:18" ht="43.2" x14ac:dyDescent="0.3">
      <c r="A199" t="s">
        <v>555</v>
      </c>
      <c r="B199" t="s">
        <v>556</v>
      </c>
      <c r="C199" t="s">
        <v>615</v>
      </c>
      <c r="D199" t="s">
        <v>616</v>
      </c>
      <c r="E199" t="s">
        <v>136</v>
      </c>
      <c r="F199" t="s">
        <v>617</v>
      </c>
      <c r="G199" t="s">
        <v>618</v>
      </c>
      <c r="H199">
        <v>1</v>
      </c>
      <c r="I199" t="s">
        <v>619</v>
      </c>
      <c r="J199">
        <v>3</v>
      </c>
      <c r="K199" t="s">
        <v>624</v>
      </c>
      <c r="L199" t="s">
        <v>625</v>
      </c>
      <c r="M199" s="1">
        <f t="shared" si="3"/>
        <v>2</v>
      </c>
      <c r="N199" t="str" cm="1">
        <f t="array" ref="N199">_xlfn.SWITCH(M199,12,"Fix now",11,"Fix now",10,"Fix now",9,"Fix now",8,"Plan",7,"Plan",6,"Plan",5,"Plan",4,"Accept",3,"Accept",2,"Accept",1,"Accept",0,"Accept")</f>
        <v>Accept</v>
      </c>
      <c r="O199" s="5" t="s">
        <v>788</v>
      </c>
      <c r="P199" s="5" t="s">
        <v>1054</v>
      </c>
      <c r="Q199" t="s">
        <v>802</v>
      </c>
      <c r="R199" s="5" t="s">
        <v>1055</v>
      </c>
    </row>
    <row r="200" spans="1:18" ht="43.2" x14ac:dyDescent="0.3">
      <c r="A200" t="s">
        <v>555</v>
      </c>
      <c r="B200" t="s">
        <v>556</v>
      </c>
      <c r="C200" t="s">
        <v>615</v>
      </c>
      <c r="D200" t="s">
        <v>616</v>
      </c>
      <c r="E200" t="s">
        <v>136</v>
      </c>
      <c r="F200" t="s">
        <v>617</v>
      </c>
      <c r="G200" t="s">
        <v>618</v>
      </c>
      <c r="H200">
        <v>1</v>
      </c>
      <c r="I200" t="s">
        <v>619</v>
      </c>
      <c r="J200">
        <v>4</v>
      </c>
      <c r="K200" t="s">
        <v>626</v>
      </c>
      <c r="L200" t="s">
        <v>627</v>
      </c>
      <c r="M200" s="1">
        <f t="shared" si="3"/>
        <v>1</v>
      </c>
      <c r="N200" t="str" cm="1">
        <f t="array" ref="N200">_xlfn.SWITCH(M200,12,"Fix now",11,"Fix now",10,"Fix now",9,"Fix now",8,"Plan",7,"Plan",6,"Plan",5,"Plan",4,"Accept",3,"Accept",2,"Accept",1,"Accept",0,"Accept")</f>
        <v>Accept</v>
      </c>
      <c r="O200" s="5" t="s">
        <v>788</v>
      </c>
      <c r="P200" s="5" t="s">
        <v>1054</v>
      </c>
      <c r="Q200" t="s">
        <v>802</v>
      </c>
      <c r="R200" s="5" t="s">
        <v>1055</v>
      </c>
    </row>
    <row r="201" spans="1:18" ht="43.2" x14ac:dyDescent="0.3">
      <c r="A201" t="s">
        <v>555</v>
      </c>
      <c r="B201" t="s">
        <v>556</v>
      </c>
      <c r="C201" t="s">
        <v>615</v>
      </c>
      <c r="D201" t="s">
        <v>616</v>
      </c>
      <c r="E201" t="s">
        <v>136</v>
      </c>
      <c r="F201" t="s">
        <v>617</v>
      </c>
      <c r="G201" t="s">
        <v>618</v>
      </c>
      <c r="H201">
        <v>1</v>
      </c>
      <c r="I201" t="s">
        <v>619</v>
      </c>
      <c r="J201">
        <v>5</v>
      </c>
      <c r="K201" t="s">
        <v>628</v>
      </c>
      <c r="L201" t="s">
        <v>629</v>
      </c>
      <c r="M201" s="1">
        <f t="shared" si="3"/>
        <v>0</v>
      </c>
      <c r="N201" t="str" cm="1">
        <f t="array" ref="N201">_xlfn.SWITCH(M201,12,"Fix now",11,"Fix now",10,"Fix now",9,"Fix now",8,"Plan",7,"Plan",6,"Plan",5,"Plan",4,"Accept",3,"Accept",2,"Accept",1,"Accept",0,"Accept")</f>
        <v>Accept</v>
      </c>
      <c r="O201" s="5" t="s">
        <v>788</v>
      </c>
      <c r="P201" s="5" t="s">
        <v>1054</v>
      </c>
      <c r="Q201" t="s">
        <v>802</v>
      </c>
      <c r="R201" s="5" t="s">
        <v>1055</v>
      </c>
    </row>
    <row r="202" spans="1:18" ht="43.2" x14ac:dyDescent="0.3">
      <c r="A202" t="s">
        <v>630</v>
      </c>
      <c r="B202" t="s">
        <v>631</v>
      </c>
      <c r="C202" t="s">
        <v>632</v>
      </c>
      <c r="D202" t="s">
        <v>633</v>
      </c>
      <c r="E202" t="s">
        <v>98</v>
      </c>
      <c r="F202" t="s">
        <v>634</v>
      </c>
      <c r="G202" t="s">
        <v>635</v>
      </c>
      <c r="H202">
        <v>2</v>
      </c>
      <c r="I202" t="s">
        <v>636</v>
      </c>
      <c r="J202">
        <v>1</v>
      </c>
      <c r="K202" t="s">
        <v>637</v>
      </c>
      <c r="L202" t="s">
        <v>638</v>
      </c>
      <c r="M202" s="1">
        <f t="shared" si="3"/>
        <v>8</v>
      </c>
      <c r="N202" t="str" cm="1">
        <f t="array" ref="N202">_xlfn.SWITCH(M202,12,"Fix now",11,"Fix now",10,"Fix now",9,"Fix now",8,"Plan",7,"Plan",6,"Plan",5,"Plan",4,"Accept",3,"Accept",2,"Accept",1,"Accept",0,"Accept")</f>
        <v>Plan</v>
      </c>
      <c r="O202" s="5" t="s">
        <v>792</v>
      </c>
      <c r="P202" s="5" t="s">
        <v>1056</v>
      </c>
      <c r="Q202" t="s">
        <v>794</v>
      </c>
      <c r="R202" s="5" t="s">
        <v>1057</v>
      </c>
    </row>
    <row r="203" spans="1:18" ht="43.2" x14ac:dyDescent="0.3">
      <c r="A203" t="s">
        <v>630</v>
      </c>
      <c r="B203" t="s">
        <v>631</v>
      </c>
      <c r="C203" t="s">
        <v>632</v>
      </c>
      <c r="D203" t="s">
        <v>633</v>
      </c>
      <c r="E203" t="s">
        <v>98</v>
      </c>
      <c r="F203" t="s">
        <v>634</v>
      </c>
      <c r="G203" t="s">
        <v>635</v>
      </c>
      <c r="H203">
        <v>2</v>
      </c>
      <c r="I203" t="s">
        <v>636</v>
      </c>
      <c r="J203">
        <v>2</v>
      </c>
      <c r="K203" t="s">
        <v>639</v>
      </c>
      <c r="L203" t="s">
        <v>640</v>
      </c>
      <c r="M203" s="1">
        <f t="shared" si="3"/>
        <v>6</v>
      </c>
      <c r="N203" t="str" cm="1">
        <f t="array" ref="N203">_xlfn.SWITCH(M203,12,"Fix now",11,"Fix now",10,"Fix now",9,"Fix now",8,"Plan",7,"Plan",6,"Plan",5,"Plan",4,"Accept",3,"Accept",2,"Accept",1,"Accept",0,"Accept")</f>
        <v>Plan</v>
      </c>
      <c r="O203" s="5" t="s">
        <v>807</v>
      </c>
      <c r="P203" s="5" t="s">
        <v>1058</v>
      </c>
      <c r="Q203" t="s">
        <v>798</v>
      </c>
      <c r="R203" s="5" t="s">
        <v>1059</v>
      </c>
    </row>
    <row r="204" spans="1:18" ht="43.2" x14ac:dyDescent="0.3">
      <c r="A204" t="s">
        <v>630</v>
      </c>
      <c r="B204" t="s">
        <v>631</v>
      </c>
      <c r="C204" t="s">
        <v>632</v>
      </c>
      <c r="D204" t="s">
        <v>633</v>
      </c>
      <c r="E204" t="s">
        <v>98</v>
      </c>
      <c r="F204" t="s">
        <v>634</v>
      </c>
      <c r="G204" t="s">
        <v>635</v>
      </c>
      <c r="H204">
        <v>2</v>
      </c>
      <c r="I204" t="s">
        <v>636</v>
      </c>
      <c r="J204">
        <v>3</v>
      </c>
      <c r="K204" t="s">
        <v>641</v>
      </c>
      <c r="L204" t="s">
        <v>642</v>
      </c>
      <c r="M204" s="1">
        <f t="shared" si="3"/>
        <v>4</v>
      </c>
      <c r="N204" t="str" cm="1">
        <f t="array" ref="N204">_xlfn.SWITCH(M204,12,"Fix now",11,"Fix now",10,"Fix now",9,"Fix now",8,"Plan",7,"Plan",6,"Plan",5,"Plan",4,"Accept",3,"Accept",2,"Accept",1,"Accept",0,"Accept")</f>
        <v>Accept</v>
      </c>
      <c r="O204" s="5" t="s">
        <v>800</v>
      </c>
      <c r="P204" s="5" t="s">
        <v>1058</v>
      </c>
      <c r="Q204" t="s">
        <v>798</v>
      </c>
      <c r="R204" s="5" t="s">
        <v>1059</v>
      </c>
    </row>
    <row r="205" spans="1:18" ht="43.2" x14ac:dyDescent="0.3">
      <c r="A205" t="s">
        <v>630</v>
      </c>
      <c r="B205" t="s">
        <v>631</v>
      </c>
      <c r="C205" t="s">
        <v>632</v>
      </c>
      <c r="D205" t="s">
        <v>633</v>
      </c>
      <c r="E205" t="s">
        <v>98</v>
      </c>
      <c r="F205" t="s">
        <v>634</v>
      </c>
      <c r="G205" t="s">
        <v>635</v>
      </c>
      <c r="H205">
        <v>2</v>
      </c>
      <c r="I205" t="s">
        <v>636</v>
      </c>
      <c r="J205">
        <v>4</v>
      </c>
      <c r="K205" t="s">
        <v>643</v>
      </c>
      <c r="L205" t="s">
        <v>644</v>
      </c>
      <c r="M205" s="1">
        <f t="shared" si="3"/>
        <v>2</v>
      </c>
      <c r="N205" t="str" cm="1">
        <f t="array" ref="N205">_xlfn.SWITCH(M205,12,"Fix now",11,"Fix now",10,"Fix now",9,"Fix now",8,"Plan",7,"Plan",6,"Plan",5,"Plan",4,"Accept",3,"Accept",2,"Accept",1,"Accept",0,"Accept")</f>
        <v>Accept</v>
      </c>
      <c r="O205" s="5" t="s">
        <v>788</v>
      </c>
      <c r="P205" s="5" t="s">
        <v>1060</v>
      </c>
      <c r="Q205" t="s">
        <v>802</v>
      </c>
      <c r="R205" s="5" t="s">
        <v>1061</v>
      </c>
    </row>
    <row r="206" spans="1:18" ht="43.2" x14ac:dyDescent="0.3">
      <c r="A206" t="s">
        <v>630</v>
      </c>
      <c r="B206" t="s">
        <v>631</v>
      </c>
      <c r="C206" t="s">
        <v>632</v>
      </c>
      <c r="D206" t="s">
        <v>633</v>
      </c>
      <c r="E206" t="s">
        <v>98</v>
      </c>
      <c r="F206" t="s">
        <v>634</v>
      </c>
      <c r="G206" t="s">
        <v>635</v>
      </c>
      <c r="H206">
        <v>2</v>
      </c>
      <c r="I206" t="s">
        <v>636</v>
      </c>
      <c r="J206">
        <v>5</v>
      </c>
      <c r="K206" t="s">
        <v>645</v>
      </c>
      <c r="L206" t="s">
        <v>646</v>
      </c>
      <c r="M206" s="1">
        <f t="shared" si="3"/>
        <v>0</v>
      </c>
      <c r="N206" t="str" cm="1">
        <f t="array" ref="N206">_xlfn.SWITCH(M206,12,"Fix now",11,"Fix now",10,"Fix now",9,"Fix now",8,"Plan",7,"Plan",6,"Plan",5,"Plan",4,"Accept",3,"Accept",2,"Accept",1,"Accept",0,"Accept")</f>
        <v>Accept</v>
      </c>
      <c r="O206" s="5" t="s">
        <v>788</v>
      </c>
      <c r="P206" s="5" t="s">
        <v>1060</v>
      </c>
      <c r="Q206" t="s">
        <v>802</v>
      </c>
      <c r="R206" s="5" t="s">
        <v>1061</v>
      </c>
    </row>
    <row r="207" spans="1:18" ht="43.2" x14ac:dyDescent="0.3">
      <c r="A207" t="s">
        <v>630</v>
      </c>
      <c r="B207" t="s">
        <v>631</v>
      </c>
      <c r="C207" t="s">
        <v>647</v>
      </c>
      <c r="D207" t="s">
        <v>648</v>
      </c>
      <c r="E207" t="s">
        <v>98</v>
      </c>
      <c r="F207" t="s">
        <v>649</v>
      </c>
      <c r="G207" t="s">
        <v>650</v>
      </c>
      <c r="H207">
        <v>1</v>
      </c>
      <c r="I207" t="s">
        <v>651</v>
      </c>
      <c r="J207">
        <v>1</v>
      </c>
      <c r="K207" t="s">
        <v>652</v>
      </c>
      <c r="L207" t="s">
        <v>653</v>
      </c>
      <c r="M207" s="1">
        <f t="shared" si="3"/>
        <v>4</v>
      </c>
      <c r="N207" t="str" cm="1">
        <f t="array" ref="N207">_xlfn.SWITCH(M207,12,"Fix now",11,"Fix now",10,"Fix now",9,"Fix now",8,"Plan",7,"Plan",6,"Plan",5,"Plan",4,"Accept",3,"Accept",2,"Accept",1,"Accept",0,"Accept")</f>
        <v>Accept</v>
      </c>
      <c r="O207" s="5" t="s">
        <v>792</v>
      </c>
      <c r="P207" s="5" t="s">
        <v>1062</v>
      </c>
      <c r="Q207" t="s">
        <v>798</v>
      </c>
      <c r="R207" s="5" t="s">
        <v>1063</v>
      </c>
    </row>
    <row r="208" spans="1:18" ht="43.2" x14ac:dyDescent="0.3">
      <c r="A208" t="s">
        <v>630</v>
      </c>
      <c r="B208" t="s">
        <v>631</v>
      </c>
      <c r="C208" t="s">
        <v>647</v>
      </c>
      <c r="D208" t="s">
        <v>648</v>
      </c>
      <c r="E208" t="s">
        <v>98</v>
      </c>
      <c r="F208" t="s">
        <v>649</v>
      </c>
      <c r="G208" t="s">
        <v>650</v>
      </c>
      <c r="H208">
        <v>1</v>
      </c>
      <c r="I208" t="s">
        <v>651</v>
      </c>
      <c r="J208">
        <v>2</v>
      </c>
      <c r="K208" t="s">
        <v>654</v>
      </c>
      <c r="L208" t="s">
        <v>655</v>
      </c>
      <c r="M208" s="1">
        <f t="shared" si="3"/>
        <v>3</v>
      </c>
      <c r="N208" t="str" cm="1">
        <f t="array" ref="N208">_xlfn.SWITCH(M208,12,"Fix now",11,"Fix now",10,"Fix now",9,"Fix now",8,"Plan",7,"Plan",6,"Plan",5,"Plan",4,"Accept",3,"Accept",2,"Accept",1,"Accept",0,"Accept")</f>
        <v>Accept</v>
      </c>
      <c r="O208" s="5" t="s">
        <v>796</v>
      </c>
      <c r="P208" s="5" t="s">
        <v>1064</v>
      </c>
      <c r="Q208" t="s">
        <v>802</v>
      </c>
      <c r="R208" s="5" t="s">
        <v>1065</v>
      </c>
    </row>
    <row r="209" spans="1:18" ht="43.2" x14ac:dyDescent="0.3">
      <c r="A209" t="s">
        <v>630</v>
      </c>
      <c r="B209" t="s">
        <v>631</v>
      </c>
      <c r="C209" t="s">
        <v>647</v>
      </c>
      <c r="D209" t="s">
        <v>648</v>
      </c>
      <c r="E209" t="s">
        <v>98</v>
      </c>
      <c r="F209" t="s">
        <v>649</v>
      </c>
      <c r="G209" t="s">
        <v>650</v>
      </c>
      <c r="H209">
        <v>1</v>
      </c>
      <c r="I209" t="s">
        <v>651</v>
      </c>
      <c r="J209">
        <v>3</v>
      </c>
      <c r="K209" t="s">
        <v>656</v>
      </c>
      <c r="L209" t="s">
        <v>657</v>
      </c>
      <c r="M209" s="1">
        <f t="shared" si="3"/>
        <v>2</v>
      </c>
      <c r="N209" t="str" cm="1">
        <f t="array" ref="N209">_xlfn.SWITCH(M209,12,"Fix now",11,"Fix now",10,"Fix now",9,"Fix now",8,"Plan",7,"Plan",6,"Plan",5,"Plan",4,"Accept",3,"Accept",2,"Accept",1,"Accept",0,"Accept")</f>
        <v>Accept</v>
      </c>
      <c r="O209" s="5" t="s">
        <v>788</v>
      </c>
      <c r="P209" s="5" t="s">
        <v>1064</v>
      </c>
      <c r="Q209" t="s">
        <v>802</v>
      </c>
      <c r="R209" s="5" t="s">
        <v>1065</v>
      </c>
    </row>
    <row r="210" spans="1:18" ht="43.2" x14ac:dyDescent="0.3">
      <c r="A210" t="s">
        <v>630</v>
      </c>
      <c r="B210" t="s">
        <v>631</v>
      </c>
      <c r="C210" t="s">
        <v>647</v>
      </c>
      <c r="D210" t="s">
        <v>648</v>
      </c>
      <c r="E210" t="s">
        <v>98</v>
      </c>
      <c r="F210" t="s">
        <v>649</v>
      </c>
      <c r="G210" t="s">
        <v>650</v>
      </c>
      <c r="H210">
        <v>1</v>
      </c>
      <c r="I210" t="s">
        <v>651</v>
      </c>
      <c r="J210">
        <v>4</v>
      </c>
      <c r="K210" t="s">
        <v>658</v>
      </c>
      <c r="L210" t="s">
        <v>659</v>
      </c>
      <c r="M210" s="1">
        <f t="shared" si="3"/>
        <v>1</v>
      </c>
      <c r="N210" t="str" cm="1">
        <f t="array" ref="N210">_xlfn.SWITCH(M210,12,"Fix now",11,"Fix now",10,"Fix now",9,"Fix now",8,"Plan",7,"Plan",6,"Plan",5,"Plan",4,"Accept",3,"Accept",2,"Accept",1,"Accept",0,"Accept")</f>
        <v>Accept</v>
      </c>
      <c r="O210" s="5" t="s">
        <v>788</v>
      </c>
      <c r="P210" s="5" t="s">
        <v>1064</v>
      </c>
      <c r="Q210" t="s">
        <v>802</v>
      </c>
      <c r="R210" s="5" t="s">
        <v>1065</v>
      </c>
    </row>
    <row r="211" spans="1:18" ht="43.2" x14ac:dyDescent="0.3">
      <c r="A211" t="s">
        <v>630</v>
      </c>
      <c r="B211" t="s">
        <v>631</v>
      </c>
      <c r="C211" t="s">
        <v>647</v>
      </c>
      <c r="D211" t="s">
        <v>648</v>
      </c>
      <c r="E211" t="s">
        <v>98</v>
      </c>
      <c r="F211" t="s">
        <v>649</v>
      </c>
      <c r="G211" t="s">
        <v>650</v>
      </c>
      <c r="H211">
        <v>1</v>
      </c>
      <c r="I211" t="s">
        <v>651</v>
      </c>
      <c r="J211">
        <v>5</v>
      </c>
      <c r="K211" t="s">
        <v>660</v>
      </c>
      <c r="L211" t="s">
        <v>661</v>
      </c>
      <c r="M211" s="1">
        <f t="shared" si="3"/>
        <v>0</v>
      </c>
      <c r="N211" t="str" cm="1">
        <f t="array" ref="N211">_xlfn.SWITCH(M211,12,"Fix now",11,"Fix now",10,"Fix now",9,"Fix now",8,"Plan",7,"Plan",6,"Plan",5,"Plan",4,"Accept",3,"Accept",2,"Accept",1,"Accept",0,"Accept")</f>
        <v>Accept</v>
      </c>
      <c r="O211" s="5" t="s">
        <v>788</v>
      </c>
      <c r="P211" s="5" t="s">
        <v>1064</v>
      </c>
      <c r="Q211" t="s">
        <v>802</v>
      </c>
      <c r="R211" s="5" t="s">
        <v>1065</v>
      </c>
    </row>
    <row r="212" spans="1:18" ht="43.2" x14ac:dyDescent="0.3">
      <c r="A212" t="s">
        <v>630</v>
      </c>
      <c r="B212" t="s">
        <v>631</v>
      </c>
      <c r="C212" t="s">
        <v>662</v>
      </c>
      <c r="D212" t="s">
        <v>663</v>
      </c>
      <c r="E212" t="s">
        <v>98</v>
      </c>
      <c r="F212" t="s">
        <v>664</v>
      </c>
      <c r="G212" t="s">
        <v>665</v>
      </c>
      <c r="H212">
        <v>2</v>
      </c>
      <c r="I212" t="s">
        <v>666</v>
      </c>
      <c r="J212">
        <v>1</v>
      </c>
      <c r="K212" t="s">
        <v>667</v>
      </c>
      <c r="L212" t="s">
        <v>668</v>
      </c>
      <c r="M212" s="1">
        <f t="shared" si="3"/>
        <v>8</v>
      </c>
      <c r="N212" t="str" cm="1">
        <f t="array" ref="N212">_xlfn.SWITCH(M212,12,"Fix now",11,"Fix now",10,"Fix now",9,"Fix now",8,"Plan",7,"Plan",6,"Plan",5,"Plan",4,"Accept",3,"Accept",2,"Accept",1,"Accept",0,"Accept")</f>
        <v>Plan</v>
      </c>
      <c r="O212" s="5" t="s">
        <v>792</v>
      </c>
      <c r="P212" s="5" t="s">
        <v>1066</v>
      </c>
      <c r="Q212" t="s">
        <v>794</v>
      </c>
      <c r="R212" s="5" t="s">
        <v>1067</v>
      </c>
    </row>
    <row r="213" spans="1:18" ht="43.2" x14ac:dyDescent="0.3">
      <c r="A213" t="s">
        <v>630</v>
      </c>
      <c r="B213" t="s">
        <v>631</v>
      </c>
      <c r="C213" t="s">
        <v>662</v>
      </c>
      <c r="D213" t="s">
        <v>663</v>
      </c>
      <c r="E213" t="s">
        <v>98</v>
      </c>
      <c r="F213" t="s">
        <v>664</v>
      </c>
      <c r="G213" t="s">
        <v>665</v>
      </c>
      <c r="H213">
        <v>2</v>
      </c>
      <c r="I213" t="s">
        <v>666</v>
      </c>
      <c r="J213">
        <v>2</v>
      </c>
      <c r="K213" t="s">
        <v>669</v>
      </c>
      <c r="L213" t="s">
        <v>670</v>
      </c>
      <c r="M213" s="1">
        <f t="shared" si="3"/>
        <v>6</v>
      </c>
      <c r="N213" t="str" cm="1">
        <f t="array" ref="N213">_xlfn.SWITCH(M213,12,"Fix now",11,"Fix now",10,"Fix now",9,"Fix now",8,"Plan",7,"Plan",6,"Plan",5,"Plan",4,"Accept",3,"Accept",2,"Accept",1,"Accept",0,"Accept")</f>
        <v>Plan</v>
      </c>
      <c r="O213" s="5" t="s">
        <v>807</v>
      </c>
      <c r="P213" s="5" t="s">
        <v>1068</v>
      </c>
      <c r="Q213" t="s">
        <v>798</v>
      </c>
      <c r="R213" s="5" t="s">
        <v>1069</v>
      </c>
    </row>
    <row r="214" spans="1:18" ht="43.2" x14ac:dyDescent="0.3">
      <c r="A214" t="s">
        <v>630</v>
      </c>
      <c r="B214" t="s">
        <v>631</v>
      </c>
      <c r="C214" t="s">
        <v>662</v>
      </c>
      <c r="D214" t="s">
        <v>663</v>
      </c>
      <c r="E214" t="s">
        <v>98</v>
      </c>
      <c r="F214" t="s">
        <v>664</v>
      </c>
      <c r="G214" t="s">
        <v>665</v>
      </c>
      <c r="H214">
        <v>2</v>
      </c>
      <c r="I214" t="s">
        <v>666</v>
      </c>
      <c r="J214">
        <v>3</v>
      </c>
      <c r="K214" t="s">
        <v>671</v>
      </c>
      <c r="L214" t="s">
        <v>672</v>
      </c>
      <c r="M214" s="1">
        <f t="shared" si="3"/>
        <v>4</v>
      </c>
      <c r="N214" t="str" cm="1">
        <f t="array" ref="N214">_xlfn.SWITCH(M214,12,"Fix now",11,"Fix now",10,"Fix now",9,"Fix now",8,"Plan",7,"Plan",6,"Plan",5,"Plan",4,"Accept",3,"Accept",2,"Accept",1,"Accept",0,"Accept")</f>
        <v>Accept</v>
      </c>
      <c r="O214" s="5" t="s">
        <v>796</v>
      </c>
      <c r="P214" s="5" t="s">
        <v>1068</v>
      </c>
      <c r="Q214" t="s">
        <v>798</v>
      </c>
      <c r="R214" s="5" t="s">
        <v>1069</v>
      </c>
    </row>
    <row r="215" spans="1:18" ht="43.2" x14ac:dyDescent="0.3">
      <c r="A215" t="s">
        <v>630</v>
      </c>
      <c r="B215" t="s">
        <v>631</v>
      </c>
      <c r="C215" t="s">
        <v>662</v>
      </c>
      <c r="D215" t="s">
        <v>663</v>
      </c>
      <c r="E215" t="s">
        <v>98</v>
      </c>
      <c r="F215" t="s">
        <v>664</v>
      </c>
      <c r="G215" t="s">
        <v>665</v>
      </c>
      <c r="H215">
        <v>2</v>
      </c>
      <c r="I215" t="s">
        <v>666</v>
      </c>
      <c r="J215">
        <v>4</v>
      </c>
      <c r="K215" t="s">
        <v>673</v>
      </c>
      <c r="L215" t="s">
        <v>674</v>
      </c>
      <c r="M215" s="1">
        <f t="shared" si="3"/>
        <v>2</v>
      </c>
      <c r="N215" t="str" cm="1">
        <f t="array" ref="N215">_xlfn.SWITCH(M215,12,"Fix now",11,"Fix now",10,"Fix now",9,"Fix now",8,"Plan",7,"Plan",6,"Plan",5,"Plan",4,"Accept",3,"Accept",2,"Accept",1,"Accept",0,"Accept")</f>
        <v>Accept</v>
      </c>
      <c r="O215" s="5" t="s">
        <v>788</v>
      </c>
      <c r="P215" s="5" t="s">
        <v>1070</v>
      </c>
      <c r="Q215" t="s">
        <v>802</v>
      </c>
      <c r="R215" s="5" t="s">
        <v>1071</v>
      </c>
    </row>
    <row r="216" spans="1:18" ht="43.2" x14ac:dyDescent="0.3">
      <c r="A216" t="s">
        <v>630</v>
      </c>
      <c r="B216" t="s">
        <v>631</v>
      </c>
      <c r="C216" t="s">
        <v>662</v>
      </c>
      <c r="D216" t="s">
        <v>663</v>
      </c>
      <c r="E216" t="s">
        <v>98</v>
      </c>
      <c r="F216" t="s">
        <v>664</v>
      </c>
      <c r="G216" t="s">
        <v>665</v>
      </c>
      <c r="H216">
        <v>2</v>
      </c>
      <c r="I216" t="s">
        <v>666</v>
      </c>
      <c r="J216">
        <v>5</v>
      </c>
      <c r="K216" t="s">
        <v>675</v>
      </c>
      <c r="L216" t="s">
        <v>676</v>
      </c>
      <c r="M216" s="1">
        <f t="shared" si="3"/>
        <v>0</v>
      </c>
      <c r="N216" t="str" cm="1">
        <f t="array" ref="N216">_xlfn.SWITCH(M216,12,"Fix now",11,"Fix now",10,"Fix now",9,"Fix now",8,"Plan",7,"Plan",6,"Plan",5,"Plan",4,"Accept",3,"Accept",2,"Accept",1,"Accept",0,"Accept")</f>
        <v>Accept</v>
      </c>
      <c r="O216" s="5" t="s">
        <v>788</v>
      </c>
      <c r="P216" s="5" t="s">
        <v>1070</v>
      </c>
      <c r="Q216" t="s">
        <v>802</v>
      </c>
      <c r="R216" s="5" t="s">
        <v>1071</v>
      </c>
    </row>
    <row r="217" spans="1:18" ht="43.2" x14ac:dyDescent="0.3">
      <c r="A217" t="s">
        <v>630</v>
      </c>
      <c r="B217" t="s">
        <v>631</v>
      </c>
      <c r="C217" t="s">
        <v>677</v>
      </c>
      <c r="D217" t="s">
        <v>678</v>
      </c>
      <c r="E217" t="s">
        <v>98</v>
      </c>
      <c r="F217" t="s">
        <v>679</v>
      </c>
      <c r="G217" t="s">
        <v>680</v>
      </c>
      <c r="H217">
        <v>1</v>
      </c>
      <c r="I217" t="s">
        <v>681</v>
      </c>
      <c r="J217">
        <v>1</v>
      </c>
      <c r="K217" t="s">
        <v>682</v>
      </c>
      <c r="L217" t="s">
        <v>683</v>
      </c>
      <c r="M217" s="1">
        <f t="shared" si="3"/>
        <v>4</v>
      </c>
      <c r="N217" t="str" cm="1">
        <f t="array" ref="N217">_xlfn.SWITCH(M217,12,"Fix now",11,"Fix now",10,"Fix now",9,"Fix now",8,"Plan",7,"Plan",6,"Plan",5,"Plan",4,"Accept",3,"Accept",2,"Accept",1,"Accept",0,"Accept")</f>
        <v>Accept</v>
      </c>
      <c r="O217" s="5" t="s">
        <v>788</v>
      </c>
      <c r="P217" s="5" t="s">
        <v>1072</v>
      </c>
      <c r="Q217" t="s">
        <v>798</v>
      </c>
      <c r="R217" s="5" t="s">
        <v>1073</v>
      </c>
    </row>
    <row r="218" spans="1:18" ht="43.2" x14ac:dyDescent="0.3">
      <c r="A218" t="s">
        <v>630</v>
      </c>
      <c r="B218" t="s">
        <v>631</v>
      </c>
      <c r="C218" t="s">
        <v>677</v>
      </c>
      <c r="D218" t="s">
        <v>678</v>
      </c>
      <c r="E218" t="s">
        <v>98</v>
      </c>
      <c r="F218" t="s">
        <v>679</v>
      </c>
      <c r="G218" t="s">
        <v>680</v>
      </c>
      <c r="H218">
        <v>1</v>
      </c>
      <c r="I218" t="s">
        <v>681</v>
      </c>
      <c r="J218">
        <v>2</v>
      </c>
      <c r="K218" t="s">
        <v>684</v>
      </c>
      <c r="L218" t="s">
        <v>685</v>
      </c>
      <c r="M218" s="1">
        <f t="shared" si="3"/>
        <v>3</v>
      </c>
      <c r="N218" t="str" cm="1">
        <f t="array" ref="N218">_xlfn.SWITCH(M218,12,"Fix now",11,"Fix now",10,"Fix now",9,"Fix now",8,"Plan",7,"Plan",6,"Plan",5,"Plan",4,"Accept",3,"Accept",2,"Accept",1,"Accept",0,"Accept")</f>
        <v>Accept</v>
      </c>
      <c r="O218" s="5" t="s">
        <v>788</v>
      </c>
      <c r="P218" s="5" t="s">
        <v>1074</v>
      </c>
      <c r="Q218" t="s">
        <v>802</v>
      </c>
      <c r="R218" s="5" t="s">
        <v>1075</v>
      </c>
    </row>
    <row r="219" spans="1:18" ht="43.2" x14ac:dyDescent="0.3">
      <c r="A219" t="s">
        <v>630</v>
      </c>
      <c r="B219" t="s">
        <v>631</v>
      </c>
      <c r="C219" t="s">
        <v>677</v>
      </c>
      <c r="D219" t="s">
        <v>678</v>
      </c>
      <c r="E219" t="s">
        <v>98</v>
      </c>
      <c r="F219" t="s">
        <v>679</v>
      </c>
      <c r="G219" t="s">
        <v>680</v>
      </c>
      <c r="H219">
        <v>1</v>
      </c>
      <c r="I219" t="s">
        <v>681</v>
      </c>
      <c r="J219">
        <v>3</v>
      </c>
      <c r="K219" t="s">
        <v>686</v>
      </c>
      <c r="L219" t="s">
        <v>687</v>
      </c>
      <c r="M219" s="1">
        <f t="shared" si="3"/>
        <v>2</v>
      </c>
      <c r="N219" t="str" cm="1">
        <f t="array" ref="N219">_xlfn.SWITCH(M219,12,"Fix now",11,"Fix now",10,"Fix now",9,"Fix now",8,"Plan",7,"Plan",6,"Plan",5,"Plan",4,"Accept",3,"Accept",2,"Accept",1,"Accept",0,"Accept")</f>
        <v>Accept</v>
      </c>
      <c r="O219" s="5" t="s">
        <v>796</v>
      </c>
      <c r="P219" s="5" t="s">
        <v>1074</v>
      </c>
      <c r="Q219" t="s">
        <v>802</v>
      </c>
      <c r="R219" s="5" t="s">
        <v>1075</v>
      </c>
    </row>
    <row r="220" spans="1:18" ht="43.2" x14ac:dyDescent="0.3">
      <c r="A220" t="s">
        <v>630</v>
      </c>
      <c r="B220" t="s">
        <v>631</v>
      </c>
      <c r="C220" t="s">
        <v>677</v>
      </c>
      <c r="D220" t="s">
        <v>678</v>
      </c>
      <c r="E220" t="s">
        <v>98</v>
      </c>
      <c r="F220" t="s">
        <v>679</v>
      </c>
      <c r="G220" t="s">
        <v>680</v>
      </c>
      <c r="H220">
        <v>1</v>
      </c>
      <c r="I220" t="s">
        <v>681</v>
      </c>
      <c r="J220">
        <v>4</v>
      </c>
      <c r="K220" t="s">
        <v>688</v>
      </c>
      <c r="L220" t="s">
        <v>689</v>
      </c>
      <c r="M220" s="1">
        <f t="shared" si="3"/>
        <v>1</v>
      </c>
      <c r="N220" t="str" cm="1">
        <f t="array" ref="N220">_xlfn.SWITCH(M220,12,"Fix now",11,"Fix now",10,"Fix now",9,"Fix now",8,"Plan",7,"Plan",6,"Plan",5,"Plan",4,"Accept",3,"Accept",2,"Accept",1,"Accept",0,"Accept")</f>
        <v>Accept</v>
      </c>
      <c r="O220" s="5" t="s">
        <v>788</v>
      </c>
      <c r="P220" s="5" t="s">
        <v>1074</v>
      </c>
      <c r="Q220" t="s">
        <v>802</v>
      </c>
      <c r="R220" s="5" t="s">
        <v>1075</v>
      </c>
    </row>
    <row r="221" spans="1:18" ht="43.2" x14ac:dyDescent="0.3">
      <c r="A221" t="s">
        <v>630</v>
      </c>
      <c r="B221" t="s">
        <v>631</v>
      </c>
      <c r="C221" t="s">
        <v>677</v>
      </c>
      <c r="D221" t="s">
        <v>678</v>
      </c>
      <c r="E221" t="s">
        <v>98</v>
      </c>
      <c r="F221" t="s">
        <v>679</v>
      </c>
      <c r="G221" t="s">
        <v>680</v>
      </c>
      <c r="H221">
        <v>1</v>
      </c>
      <c r="I221" t="s">
        <v>681</v>
      </c>
      <c r="J221">
        <v>5</v>
      </c>
      <c r="K221" t="s">
        <v>690</v>
      </c>
      <c r="L221" t="s">
        <v>691</v>
      </c>
      <c r="M221" s="1">
        <f t="shared" si="3"/>
        <v>0</v>
      </c>
      <c r="N221" t="str" cm="1">
        <f t="array" ref="N221">_xlfn.SWITCH(M221,12,"Fix now",11,"Fix now",10,"Fix now",9,"Fix now",8,"Plan",7,"Plan",6,"Plan",5,"Plan",4,"Accept",3,"Accept",2,"Accept",1,"Accept",0,"Accept")</f>
        <v>Accept</v>
      </c>
      <c r="O221" s="5" t="s">
        <v>788</v>
      </c>
      <c r="P221" s="5" t="s">
        <v>1074</v>
      </c>
      <c r="Q221" t="s">
        <v>802</v>
      </c>
      <c r="R221" s="5" t="s">
        <v>1075</v>
      </c>
    </row>
    <row r="222" spans="1:18" ht="43.2" x14ac:dyDescent="0.3">
      <c r="A222" t="s">
        <v>630</v>
      </c>
      <c r="B222" t="s">
        <v>631</v>
      </c>
      <c r="C222" t="s">
        <v>692</v>
      </c>
      <c r="D222" t="s">
        <v>693</v>
      </c>
      <c r="E222" t="s">
        <v>98</v>
      </c>
      <c r="F222" t="s">
        <v>694</v>
      </c>
      <c r="G222" t="s">
        <v>695</v>
      </c>
      <c r="H222">
        <v>2</v>
      </c>
      <c r="I222" t="s">
        <v>696</v>
      </c>
      <c r="J222">
        <v>1</v>
      </c>
      <c r="K222" t="s">
        <v>697</v>
      </c>
      <c r="L222" t="s">
        <v>698</v>
      </c>
      <c r="M222" s="1">
        <f t="shared" si="3"/>
        <v>8</v>
      </c>
      <c r="N222" t="str" cm="1">
        <f t="array" ref="N222">_xlfn.SWITCH(M222,12,"Fix now",11,"Fix now",10,"Fix now",9,"Fix now",8,"Plan",7,"Plan",6,"Plan",5,"Plan",4,"Accept",3,"Accept",2,"Accept",1,"Accept",0,"Accept")</f>
        <v>Plan</v>
      </c>
      <c r="O222" s="5" t="s">
        <v>788</v>
      </c>
      <c r="P222" s="5" t="s">
        <v>1076</v>
      </c>
      <c r="Q222" t="s">
        <v>794</v>
      </c>
      <c r="R222" s="5" t="s">
        <v>1077</v>
      </c>
    </row>
    <row r="223" spans="1:18" ht="43.2" x14ac:dyDescent="0.3">
      <c r="A223" t="s">
        <v>630</v>
      </c>
      <c r="B223" t="s">
        <v>631</v>
      </c>
      <c r="C223" t="s">
        <v>692</v>
      </c>
      <c r="D223" t="s">
        <v>693</v>
      </c>
      <c r="E223" t="s">
        <v>98</v>
      </c>
      <c r="F223" t="s">
        <v>694</v>
      </c>
      <c r="G223" t="s">
        <v>695</v>
      </c>
      <c r="H223">
        <v>2</v>
      </c>
      <c r="I223" t="s">
        <v>696</v>
      </c>
      <c r="J223">
        <v>2</v>
      </c>
      <c r="K223" t="s">
        <v>699</v>
      </c>
      <c r="L223" t="s">
        <v>700</v>
      </c>
      <c r="M223" s="1">
        <f t="shared" si="3"/>
        <v>6</v>
      </c>
      <c r="N223" t="str" cm="1">
        <f t="array" ref="N223">_xlfn.SWITCH(M223,12,"Fix now",11,"Fix now",10,"Fix now",9,"Fix now",8,"Plan",7,"Plan",6,"Plan",5,"Plan",4,"Accept",3,"Accept",2,"Accept",1,"Accept",0,"Accept")</f>
        <v>Plan</v>
      </c>
      <c r="O223" s="5" t="s">
        <v>788</v>
      </c>
      <c r="P223" s="5" t="s">
        <v>1078</v>
      </c>
      <c r="Q223" t="s">
        <v>798</v>
      </c>
      <c r="R223" s="5" t="s">
        <v>1079</v>
      </c>
    </row>
    <row r="224" spans="1:18" ht="43.2" x14ac:dyDescent="0.3">
      <c r="A224" t="s">
        <v>630</v>
      </c>
      <c r="B224" t="s">
        <v>631</v>
      </c>
      <c r="C224" t="s">
        <v>692</v>
      </c>
      <c r="D224" t="s">
        <v>693</v>
      </c>
      <c r="E224" t="s">
        <v>98</v>
      </c>
      <c r="F224" t="s">
        <v>694</v>
      </c>
      <c r="G224" t="s">
        <v>695</v>
      </c>
      <c r="H224">
        <v>2</v>
      </c>
      <c r="I224" t="s">
        <v>696</v>
      </c>
      <c r="J224">
        <v>3</v>
      </c>
      <c r="K224" t="s">
        <v>701</v>
      </c>
      <c r="L224" t="s">
        <v>702</v>
      </c>
      <c r="M224" s="1">
        <f t="shared" si="3"/>
        <v>4</v>
      </c>
      <c r="N224" t="str" cm="1">
        <f t="array" ref="N224">_xlfn.SWITCH(M224,12,"Fix now",11,"Fix now",10,"Fix now",9,"Fix now",8,"Plan",7,"Plan",6,"Plan",5,"Plan",4,"Accept",3,"Accept",2,"Accept",1,"Accept",0,"Accept")</f>
        <v>Accept</v>
      </c>
      <c r="O224" s="5" t="s">
        <v>788</v>
      </c>
      <c r="P224" s="5" t="s">
        <v>1078</v>
      </c>
      <c r="Q224" t="s">
        <v>798</v>
      </c>
      <c r="R224" s="5" t="s">
        <v>1079</v>
      </c>
    </row>
    <row r="225" spans="1:18" ht="43.2" x14ac:dyDescent="0.3">
      <c r="A225" t="s">
        <v>630</v>
      </c>
      <c r="B225" t="s">
        <v>631</v>
      </c>
      <c r="C225" t="s">
        <v>692</v>
      </c>
      <c r="D225" t="s">
        <v>693</v>
      </c>
      <c r="E225" t="s">
        <v>98</v>
      </c>
      <c r="F225" t="s">
        <v>694</v>
      </c>
      <c r="G225" t="s">
        <v>695</v>
      </c>
      <c r="H225">
        <v>2</v>
      </c>
      <c r="I225" t="s">
        <v>696</v>
      </c>
      <c r="J225">
        <v>4</v>
      </c>
      <c r="K225" t="s">
        <v>703</v>
      </c>
      <c r="L225" t="s">
        <v>704</v>
      </c>
      <c r="M225" s="1">
        <f t="shared" si="3"/>
        <v>2</v>
      </c>
      <c r="N225" t="str" cm="1">
        <f t="array" ref="N225">_xlfn.SWITCH(M225,12,"Fix now",11,"Fix now",10,"Fix now",9,"Fix now",8,"Plan",7,"Plan",6,"Plan",5,"Plan",4,"Accept",3,"Accept",2,"Accept",1,"Accept",0,"Accept")</f>
        <v>Accept</v>
      </c>
      <c r="O225" s="5" t="s">
        <v>788</v>
      </c>
      <c r="P225" s="5" t="s">
        <v>1080</v>
      </c>
      <c r="Q225" t="s">
        <v>802</v>
      </c>
      <c r="R225" s="5" t="s">
        <v>1081</v>
      </c>
    </row>
    <row r="226" spans="1:18" ht="43.2" x14ac:dyDescent="0.3">
      <c r="A226" t="s">
        <v>630</v>
      </c>
      <c r="B226" t="s">
        <v>631</v>
      </c>
      <c r="C226" t="s">
        <v>692</v>
      </c>
      <c r="D226" t="s">
        <v>693</v>
      </c>
      <c r="E226" t="s">
        <v>98</v>
      </c>
      <c r="F226" t="s">
        <v>694</v>
      </c>
      <c r="G226" t="s">
        <v>695</v>
      </c>
      <c r="H226">
        <v>2</v>
      </c>
      <c r="I226" t="s">
        <v>696</v>
      </c>
      <c r="J226">
        <v>5</v>
      </c>
      <c r="K226" t="s">
        <v>705</v>
      </c>
      <c r="L226" t="s">
        <v>706</v>
      </c>
      <c r="M226" s="1">
        <f t="shared" si="3"/>
        <v>0</v>
      </c>
      <c r="N226" t="str" cm="1">
        <f t="array" ref="N226">_xlfn.SWITCH(M226,12,"Fix now",11,"Fix now",10,"Fix now",9,"Fix now",8,"Plan",7,"Plan",6,"Plan",5,"Plan",4,"Accept",3,"Accept",2,"Accept",1,"Accept",0,"Accept")</f>
        <v>Accept</v>
      </c>
      <c r="O226" s="5" t="s">
        <v>788</v>
      </c>
      <c r="P226" s="5" t="s">
        <v>1080</v>
      </c>
      <c r="Q226" t="s">
        <v>802</v>
      </c>
      <c r="R226" s="5" t="s">
        <v>1081</v>
      </c>
    </row>
    <row r="227" spans="1:18" ht="43.2" x14ac:dyDescent="0.3">
      <c r="A227" t="s">
        <v>707</v>
      </c>
      <c r="B227" t="s">
        <v>708</v>
      </c>
      <c r="C227" t="s">
        <v>709</v>
      </c>
      <c r="D227" t="s">
        <v>710</v>
      </c>
      <c r="E227" t="s">
        <v>98</v>
      </c>
      <c r="F227" t="s">
        <v>711</v>
      </c>
      <c r="G227" t="s">
        <v>712</v>
      </c>
      <c r="H227">
        <v>3</v>
      </c>
      <c r="I227" t="s">
        <v>713</v>
      </c>
      <c r="J227">
        <v>1</v>
      </c>
      <c r="K227" t="s">
        <v>714</v>
      </c>
      <c r="L227" t="s">
        <v>715</v>
      </c>
      <c r="M227" s="1">
        <f t="shared" si="3"/>
        <v>12</v>
      </c>
      <c r="N227" t="str" cm="1">
        <f t="array" ref="N227">_xlfn.SWITCH(M227,12,"Fix now",11,"Fix now",10,"Fix now",9,"Fix now",8,"Plan",7,"Plan",6,"Plan",5,"Plan",4,"Accept",3,"Accept",2,"Accept",1,"Accept",0,"Accept")</f>
        <v>Fix now</v>
      </c>
      <c r="O227" s="5" t="s">
        <v>792</v>
      </c>
      <c r="P227" s="5" t="s">
        <v>1082</v>
      </c>
      <c r="Q227" t="s">
        <v>790</v>
      </c>
      <c r="R227" s="5" t="s">
        <v>1083</v>
      </c>
    </row>
    <row r="228" spans="1:18" ht="43.2" x14ac:dyDescent="0.3">
      <c r="A228" t="s">
        <v>707</v>
      </c>
      <c r="B228" t="s">
        <v>708</v>
      </c>
      <c r="C228" t="s">
        <v>709</v>
      </c>
      <c r="D228" t="s">
        <v>710</v>
      </c>
      <c r="E228" t="s">
        <v>98</v>
      </c>
      <c r="F228" t="s">
        <v>711</v>
      </c>
      <c r="G228" t="s">
        <v>712</v>
      </c>
      <c r="H228">
        <v>3</v>
      </c>
      <c r="I228" t="s">
        <v>713</v>
      </c>
      <c r="J228">
        <v>2</v>
      </c>
      <c r="K228" t="s">
        <v>716</v>
      </c>
      <c r="L228" t="s">
        <v>717</v>
      </c>
      <c r="M228" s="1">
        <f t="shared" si="3"/>
        <v>9</v>
      </c>
      <c r="N228" t="str" cm="1">
        <f t="array" ref="N228">_xlfn.SWITCH(M228,12,"Fix now",11,"Fix now",10,"Fix now",9,"Fix now",8,"Plan",7,"Plan",6,"Plan",5,"Plan",4,"Accept",3,"Accept",2,"Accept",1,"Accept",0,"Accept")</f>
        <v>Fix now</v>
      </c>
      <c r="O228" s="5" t="s">
        <v>792</v>
      </c>
      <c r="P228" s="5" t="s">
        <v>1084</v>
      </c>
      <c r="Q228" t="s">
        <v>794</v>
      </c>
      <c r="R228" s="5" t="s">
        <v>1085</v>
      </c>
    </row>
    <row r="229" spans="1:18" ht="43.2" x14ac:dyDescent="0.3">
      <c r="A229" t="s">
        <v>707</v>
      </c>
      <c r="B229" t="s">
        <v>708</v>
      </c>
      <c r="C229" t="s">
        <v>709</v>
      </c>
      <c r="D229" t="s">
        <v>710</v>
      </c>
      <c r="E229" t="s">
        <v>98</v>
      </c>
      <c r="F229" t="s">
        <v>711</v>
      </c>
      <c r="G229" t="s">
        <v>712</v>
      </c>
      <c r="H229">
        <v>3</v>
      </c>
      <c r="I229" t="s">
        <v>713</v>
      </c>
      <c r="J229">
        <v>3</v>
      </c>
      <c r="K229" t="s">
        <v>718</v>
      </c>
      <c r="L229" t="s">
        <v>719</v>
      </c>
      <c r="M229" s="1">
        <f t="shared" si="3"/>
        <v>6</v>
      </c>
      <c r="N229" t="str" cm="1">
        <f t="array" ref="N229">_xlfn.SWITCH(M229,12,"Fix now",11,"Fix now",10,"Fix now",9,"Fix now",8,"Plan",7,"Plan",6,"Plan",5,"Plan",4,"Accept",3,"Accept",2,"Accept",1,"Accept",0,"Accept")</f>
        <v>Plan</v>
      </c>
      <c r="O229" s="5" t="s">
        <v>792</v>
      </c>
      <c r="P229" s="5" t="s">
        <v>1086</v>
      </c>
      <c r="Q229" t="s">
        <v>798</v>
      </c>
      <c r="R229" s="5" t="s">
        <v>1087</v>
      </c>
    </row>
    <row r="230" spans="1:18" ht="43.2" x14ac:dyDescent="0.3">
      <c r="A230" t="s">
        <v>707</v>
      </c>
      <c r="B230" t="s">
        <v>708</v>
      </c>
      <c r="C230" t="s">
        <v>709</v>
      </c>
      <c r="D230" t="s">
        <v>710</v>
      </c>
      <c r="E230" t="s">
        <v>98</v>
      </c>
      <c r="F230" t="s">
        <v>711</v>
      </c>
      <c r="G230" t="s">
        <v>712</v>
      </c>
      <c r="H230">
        <v>3</v>
      </c>
      <c r="I230" t="s">
        <v>713</v>
      </c>
      <c r="J230">
        <v>4</v>
      </c>
      <c r="K230" t="s">
        <v>720</v>
      </c>
      <c r="L230" t="s">
        <v>721</v>
      </c>
      <c r="M230" s="1">
        <f t="shared" si="3"/>
        <v>3</v>
      </c>
      <c r="N230" t="str" cm="1">
        <f t="array" ref="N230">_xlfn.SWITCH(M230,12,"Fix now",11,"Fix now",10,"Fix now",9,"Fix now",8,"Plan",7,"Plan",6,"Plan",5,"Plan",4,"Accept",3,"Accept",2,"Accept",1,"Accept",0,"Accept")</f>
        <v>Accept</v>
      </c>
      <c r="O230" s="5" t="s">
        <v>788</v>
      </c>
      <c r="P230" s="5" t="s">
        <v>1088</v>
      </c>
      <c r="Q230" t="s">
        <v>802</v>
      </c>
      <c r="R230" s="5" t="s">
        <v>1089</v>
      </c>
    </row>
    <row r="231" spans="1:18" ht="43.2" x14ac:dyDescent="0.3">
      <c r="A231" t="s">
        <v>707</v>
      </c>
      <c r="B231" t="s">
        <v>708</v>
      </c>
      <c r="C231" t="s">
        <v>709</v>
      </c>
      <c r="D231" t="s">
        <v>710</v>
      </c>
      <c r="E231" t="s">
        <v>98</v>
      </c>
      <c r="F231" t="s">
        <v>711</v>
      </c>
      <c r="G231" t="s">
        <v>712</v>
      </c>
      <c r="H231">
        <v>3</v>
      </c>
      <c r="I231" t="s">
        <v>713</v>
      </c>
      <c r="J231">
        <v>5</v>
      </c>
      <c r="K231" t="s">
        <v>722</v>
      </c>
      <c r="L231" t="s">
        <v>723</v>
      </c>
      <c r="M231" s="1">
        <f t="shared" si="3"/>
        <v>0</v>
      </c>
      <c r="N231" t="str" cm="1">
        <f t="array" ref="N231">_xlfn.SWITCH(M231,12,"Fix now",11,"Fix now",10,"Fix now",9,"Fix now",8,"Plan",7,"Plan",6,"Plan",5,"Plan",4,"Accept",3,"Accept",2,"Accept",1,"Accept",0,"Accept")</f>
        <v>Accept</v>
      </c>
      <c r="O231" s="5" t="s">
        <v>788</v>
      </c>
      <c r="P231" s="5" t="s">
        <v>1088</v>
      </c>
      <c r="Q231" t="s">
        <v>802</v>
      </c>
      <c r="R231" s="5" t="s">
        <v>1089</v>
      </c>
    </row>
    <row r="232" spans="1:18" ht="43.2" x14ac:dyDescent="0.3">
      <c r="A232" t="s">
        <v>707</v>
      </c>
      <c r="B232" t="s">
        <v>708</v>
      </c>
      <c r="C232" t="s">
        <v>724</v>
      </c>
      <c r="D232" t="s">
        <v>725</v>
      </c>
      <c r="E232" t="s">
        <v>98</v>
      </c>
      <c r="F232" t="s">
        <v>726</v>
      </c>
      <c r="G232" t="s">
        <v>727</v>
      </c>
      <c r="H232">
        <v>3</v>
      </c>
      <c r="I232" t="s">
        <v>728</v>
      </c>
      <c r="J232">
        <v>1</v>
      </c>
      <c r="K232" t="s">
        <v>729</v>
      </c>
      <c r="L232" t="s">
        <v>730</v>
      </c>
      <c r="M232" s="1">
        <f t="shared" si="3"/>
        <v>12</v>
      </c>
      <c r="N232" t="str" cm="1">
        <f t="array" ref="N232">_xlfn.SWITCH(M232,12,"Fix now",11,"Fix now",10,"Fix now",9,"Fix now",8,"Plan",7,"Plan",6,"Plan",5,"Plan",4,"Accept",3,"Accept",2,"Accept",1,"Accept",0,"Accept")</f>
        <v>Fix now</v>
      </c>
      <c r="O232" s="5" t="s">
        <v>792</v>
      </c>
      <c r="P232" s="5" t="s">
        <v>1090</v>
      </c>
      <c r="Q232" t="s">
        <v>790</v>
      </c>
      <c r="R232" s="5" t="s">
        <v>1091</v>
      </c>
    </row>
    <row r="233" spans="1:18" ht="43.2" x14ac:dyDescent="0.3">
      <c r="A233" t="s">
        <v>707</v>
      </c>
      <c r="B233" t="s">
        <v>708</v>
      </c>
      <c r="C233" t="s">
        <v>724</v>
      </c>
      <c r="D233" t="s">
        <v>725</v>
      </c>
      <c r="E233" t="s">
        <v>98</v>
      </c>
      <c r="F233" t="s">
        <v>726</v>
      </c>
      <c r="G233" t="s">
        <v>727</v>
      </c>
      <c r="H233">
        <v>3</v>
      </c>
      <c r="I233" t="s">
        <v>728</v>
      </c>
      <c r="J233">
        <v>2</v>
      </c>
      <c r="K233" t="s">
        <v>731</v>
      </c>
      <c r="L233" t="s">
        <v>732</v>
      </c>
      <c r="M233" s="1">
        <f t="shared" si="3"/>
        <v>9</v>
      </c>
      <c r="N233" t="str" cm="1">
        <f t="array" ref="N233">_xlfn.SWITCH(M233,12,"Fix now",11,"Fix now",10,"Fix now",9,"Fix now",8,"Plan",7,"Plan",6,"Plan",5,"Plan",4,"Accept",3,"Accept",2,"Accept",1,"Accept",0,"Accept")</f>
        <v>Fix now</v>
      </c>
      <c r="O233" s="5" t="s">
        <v>807</v>
      </c>
      <c r="P233" s="5" t="s">
        <v>1092</v>
      </c>
      <c r="Q233" t="s">
        <v>794</v>
      </c>
      <c r="R233" s="5" t="s">
        <v>1093</v>
      </c>
    </row>
    <row r="234" spans="1:18" ht="43.2" x14ac:dyDescent="0.3">
      <c r="A234" t="s">
        <v>707</v>
      </c>
      <c r="B234" t="s">
        <v>708</v>
      </c>
      <c r="C234" t="s">
        <v>724</v>
      </c>
      <c r="D234" t="s">
        <v>725</v>
      </c>
      <c r="E234" t="s">
        <v>98</v>
      </c>
      <c r="F234" t="s">
        <v>726</v>
      </c>
      <c r="G234" t="s">
        <v>727</v>
      </c>
      <c r="H234">
        <v>3</v>
      </c>
      <c r="I234" t="s">
        <v>728</v>
      </c>
      <c r="J234">
        <v>3</v>
      </c>
      <c r="K234" t="s">
        <v>733</v>
      </c>
      <c r="L234" t="s">
        <v>734</v>
      </c>
      <c r="M234" s="1">
        <f t="shared" si="3"/>
        <v>6</v>
      </c>
      <c r="N234" t="str" cm="1">
        <f t="array" ref="N234">_xlfn.SWITCH(M234,12,"Fix now",11,"Fix now",10,"Fix now",9,"Fix now",8,"Plan",7,"Plan",6,"Plan",5,"Plan",4,"Accept",3,"Accept",2,"Accept",1,"Accept",0,"Accept")</f>
        <v>Plan</v>
      </c>
      <c r="O234" s="5" t="s">
        <v>796</v>
      </c>
      <c r="P234" s="5" t="s">
        <v>1094</v>
      </c>
      <c r="Q234" t="s">
        <v>798</v>
      </c>
      <c r="R234" s="5" t="s">
        <v>1095</v>
      </c>
    </row>
    <row r="235" spans="1:18" ht="43.2" x14ac:dyDescent="0.3">
      <c r="A235" t="s">
        <v>707</v>
      </c>
      <c r="B235" t="s">
        <v>708</v>
      </c>
      <c r="C235" t="s">
        <v>724</v>
      </c>
      <c r="D235" t="s">
        <v>725</v>
      </c>
      <c r="E235" t="s">
        <v>98</v>
      </c>
      <c r="F235" t="s">
        <v>726</v>
      </c>
      <c r="G235" t="s">
        <v>727</v>
      </c>
      <c r="H235">
        <v>3</v>
      </c>
      <c r="I235" t="s">
        <v>728</v>
      </c>
      <c r="J235">
        <v>4</v>
      </c>
      <c r="K235" t="s">
        <v>735</v>
      </c>
      <c r="L235" t="s">
        <v>736</v>
      </c>
      <c r="M235" s="1">
        <f t="shared" si="3"/>
        <v>3</v>
      </c>
      <c r="N235" t="str" cm="1">
        <f t="array" ref="N235">_xlfn.SWITCH(M235,12,"Fix now",11,"Fix now",10,"Fix now",9,"Fix now",8,"Plan",7,"Plan",6,"Plan",5,"Plan",4,"Accept",3,"Accept",2,"Accept",1,"Accept",0,"Accept")</f>
        <v>Accept</v>
      </c>
      <c r="O235" s="5" t="s">
        <v>788</v>
      </c>
      <c r="P235" s="5" t="s">
        <v>1096</v>
      </c>
      <c r="Q235" t="s">
        <v>802</v>
      </c>
      <c r="R235" s="5" t="s">
        <v>1097</v>
      </c>
    </row>
    <row r="236" spans="1:18" ht="43.2" x14ac:dyDescent="0.3">
      <c r="A236" t="s">
        <v>707</v>
      </c>
      <c r="B236" t="s">
        <v>708</v>
      </c>
      <c r="C236" t="s">
        <v>724</v>
      </c>
      <c r="D236" t="s">
        <v>725</v>
      </c>
      <c r="E236" t="s">
        <v>98</v>
      </c>
      <c r="F236" t="s">
        <v>726</v>
      </c>
      <c r="G236" t="s">
        <v>727</v>
      </c>
      <c r="H236">
        <v>3</v>
      </c>
      <c r="I236" t="s">
        <v>728</v>
      </c>
      <c r="J236">
        <v>5</v>
      </c>
      <c r="K236" t="s">
        <v>737</v>
      </c>
      <c r="L236" t="s">
        <v>738</v>
      </c>
      <c r="M236" s="1">
        <f t="shared" si="3"/>
        <v>0</v>
      </c>
      <c r="N236" t="str" cm="1">
        <f t="array" ref="N236">_xlfn.SWITCH(M236,12,"Fix now",11,"Fix now",10,"Fix now",9,"Fix now",8,"Plan",7,"Plan",6,"Plan",5,"Plan",4,"Accept",3,"Accept",2,"Accept",1,"Accept",0,"Accept")</f>
        <v>Accept</v>
      </c>
      <c r="O236" s="5" t="s">
        <v>788</v>
      </c>
      <c r="P236" s="5" t="s">
        <v>1096</v>
      </c>
      <c r="Q236" t="s">
        <v>802</v>
      </c>
      <c r="R236" s="5" t="s">
        <v>1097</v>
      </c>
    </row>
    <row r="237" spans="1:18" ht="43.2" x14ac:dyDescent="0.3">
      <c r="A237" t="s">
        <v>707</v>
      </c>
      <c r="B237" t="s">
        <v>708</v>
      </c>
      <c r="C237" t="s">
        <v>739</v>
      </c>
      <c r="D237" t="s">
        <v>740</v>
      </c>
      <c r="E237" t="s">
        <v>98</v>
      </c>
      <c r="F237" t="s">
        <v>741</v>
      </c>
      <c r="G237" t="s">
        <v>742</v>
      </c>
      <c r="H237">
        <v>3</v>
      </c>
      <c r="I237" t="s">
        <v>743</v>
      </c>
      <c r="J237">
        <v>1</v>
      </c>
      <c r="K237" t="s">
        <v>744</v>
      </c>
      <c r="L237" t="s">
        <v>745</v>
      </c>
      <c r="M237" s="1">
        <f t="shared" si="3"/>
        <v>12</v>
      </c>
      <c r="N237" t="str" cm="1">
        <f t="array" ref="N237">_xlfn.SWITCH(M237,12,"Fix now",11,"Fix now",10,"Fix now",9,"Fix now",8,"Plan",7,"Plan",6,"Plan",5,"Plan",4,"Accept",3,"Accept",2,"Accept",1,"Accept",0,"Accept")</f>
        <v>Fix now</v>
      </c>
      <c r="O237" s="5" t="s">
        <v>792</v>
      </c>
      <c r="P237" s="5" t="s">
        <v>1098</v>
      </c>
      <c r="Q237" t="s">
        <v>790</v>
      </c>
      <c r="R237" s="5" t="s">
        <v>1099</v>
      </c>
    </row>
    <row r="238" spans="1:18" ht="43.2" x14ac:dyDescent="0.3">
      <c r="A238" t="s">
        <v>707</v>
      </c>
      <c r="B238" t="s">
        <v>708</v>
      </c>
      <c r="C238" t="s">
        <v>739</v>
      </c>
      <c r="D238" t="s">
        <v>740</v>
      </c>
      <c r="E238" t="s">
        <v>98</v>
      </c>
      <c r="F238" t="s">
        <v>741</v>
      </c>
      <c r="G238" t="s">
        <v>742</v>
      </c>
      <c r="H238">
        <v>3</v>
      </c>
      <c r="I238" t="s">
        <v>743</v>
      </c>
      <c r="J238">
        <v>2</v>
      </c>
      <c r="K238" t="s">
        <v>746</v>
      </c>
      <c r="L238" t="s">
        <v>747</v>
      </c>
      <c r="M238" s="1">
        <f t="shared" si="3"/>
        <v>9</v>
      </c>
      <c r="N238" t="str" cm="1">
        <f t="array" ref="N238">_xlfn.SWITCH(M238,12,"Fix now",11,"Fix now",10,"Fix now",9,"Fix now",8,"Plan",7,"Plan",6,"Plan",5,"Plan",4,"Accept",3,"Accept",2,"Accept",1,"Accept",0,"Accept")</f>
        <v>Fix now</v>
      </c>
      <c r="O238" s="5" t="s">
        <v>796</v>
      </c>
      <c r="P238" s="5" t="s">
        <v>1100</v>
      </c>
      <c r="Q238" t="s">
        <v>794</v>
      </c>
      <c r="R238" s="5" t="s">
        <v>1101</v>
      </c>
    </row>
    <row r="239" spans="1:18" ht="43.2" x14ac:dyDescent="0.3">
      <c r="A239" t="s">
        <v>707</v>
      </c>
      <c r="B239" t="s">
        <v>708</v>
      </c>
      <c r="C239" t="s">
        <v>739</v>
      </c>
      <c r="D239" t="s">
        <v>740</v>
      </c>
      <c r="E239" t="s">
        <v>98</v>
      </c>
      <c r="F239" t="s">
        <v>741</v>
      </c>
      <c r="G239" t="s">
        <v>742</v>
      </c>
      <c r="H239">
        <v>3</v>
      </c>
      <c r="I239" t="s">
        <v>743</v>
      </c>
      <c r="J239">
        <v>3</v>
      </c>
      <c r="K239" t="s">
        <v>748</v>
      </c>
      <c r="L239" t="s">
        <v>749</v>
      </c>
      <c r="M239" s="1">
        <f t="shared" si="3"/>
        <v>6</v>
      </c>
      <c r="N239" t="str" cm="1">
        <f t="array" ref="N239">_xlfn.SWITCH(M239,12,"Fix now",11,"Fix now",10,"Fix now",9,"Fix now",8,"Plan",7,"Plan",6,"Plan",5,"Plan",4,"Accept",3,"Accept",2,"Accept",1,"Accept",0,"Accept")</f>
        <v>Plan</v>
      </c>
      <c r="O239" s="5" t="s">
        <v>788</v>
      </c>
      <c r="P239" s="5" t="s">
        <v>1102</v>
      </c>
      <c r="Q239" t="s">
        <v>798</v>
      </c>
      <c r="R239" s="5" t="s">
        <v>1103</v>
      </c>
    </row>
    <row r="240" spans="1:18" ht="43.2" x14ac:dyDescent="0.3">
      <c r="A240" t="s">
        <v>707</v>
      </c>
      <c r="B240" t="s">
        <v>708</v>
      </c>
      <c r="C240" t="s">
        <v>739</v>
      </c>
      <c r="D240" t="s">
        <v>740</v>
      </c>
      <c r="E240" t="s">
        <v>98</v>
      </c>
      <c r="F240" t="s">
        <v>741</v>
      </c>
      <c r="G240" t="s">
        <v>742</v>
      </c>
      <c r="H240">
        <v>3</v>
      </c>
      <c r="I240" t="s">
        <v>743</v>
      </c>
      <c r="J240">
        <v>4</v>
      </c>
      <c r="K240" t="s">
        <v>750</v>
      </c>
      <c r="L240" t="s">
        <v>751</v>
      </c>
      <c r="M240" s="1">
        <f t="shared" si="3"/>
        <v>3</v>
      </c>
      <c r="N240" t="str" cm="1">
        <f t="array" ref="N240">_xlfn.SWITCH(M240,12,"Fix now",11,"Fix now",10,"Fix now",9,"Fix now",8,"Plan",7,"Plan",6,"Plan",5,"Plan",4,"Accept",3,"Accept",2,"Accept",1,"Accept",0,"Accept")</f>
        <v>Accept</v>
      </c>
      <c r="O240" s="5" t="s">
        <v>788</v>
      </c>
      <c r="P240" s="5" t="s">
        <v>1104</v>
      </c>
      <c r="Q240" t="s">
        <v>802</v>
      </c>
      <c r="R240" s="5" t="s">
        <v>1105</v>
      </c>
    </row>
    <row r="241" spans="1:18" ht="43.2" x14ac:dyDescent="0.3">
      <c r="A241" t="s">
        <v>707</v>
      </c>
      <c r="B241" t="s">
        <v>708</v>
      </c>
      <c r="C241" t="s">
        <v>739</v>
      </c>
      <c r="D241" t="s">
        <v>740</v>
      </c>
      <c r="E241" t="s">
        <v>98</v>
      </c>
      <c r="F241" t="s">
        <v>741</v>
      </c>
      <c r="G241" t="s">
        <v>742</v>
      </c>
      <c r="H241">
        <v>3</v>
      </c>
      <c r="I241" t="s">
        <v>743</v>
      </c>
      <c r="J241">
        <v>5</v>
      </c>
      <c r="K241" t="s">
        <v>752</v>
      </c>
      <c r="L241" t="s">
        <v>753</v>
      </c>
      <c r="M241" s="1">
        <f t="shared" si="3"/>
        <v>0</v>
      </c>
      <c r="N241" t="str" cm="1">
        <f t="array" ref="N241">_xlfn.SWITCH(M241,12,"Fix now",11,"Fix now",10,"Fix now",9,"Fix now",8,"Plan",7,"Plan",6,"Plan",5,"Plan",4,"Accept",3,"Accept",2,"Accept",1,"Accept",0,"Accept")</f>
        <v>Accept</v>
      </c>
      <c r="O241" s="5" t="s">
        <v>788</v>
      </c>
      <c r="P241" s="5" t="s">
        <v>1104</v>
      </c>
      <c r="Q241" t="s">
        <v>802</v>
      </c>
      <c r="R241" s="5" t="s">
        <v>1105</v>
      </c>
    </row>
    <row r="242" spans="1:18" ht="43.2" x14ac:dyDescent="0.3">
      <c r="A242" t="s">
        <v>707</v>
      </c>
      <c r="B242" t="s">
        <v>708</v>
      </c>
      <c r="C242" t="s">
        <v>754</v>
      </c>
      <c r="D242" t="s">
        <v>755</v>
      </c>
      <c r="E242" t="s">
        <v>98</v>
      </c>
      <c r="F242" t="s">
        <v>756</v>
      </c>
      <c r="G242" t="s">
        <v>757</v>
      </c>
      <c r="H242">
        <v>2</v>
      </c>
      <c r="I242" t="s">
        <v>758</v>
      </c>
      <c r="J242">
        <v>1</v>
      </c>
      <c r="K242" t="s">
        <v>759</v>
      </c>
      <c r="L242" t="s">
        <v>760</v>
      </c>
      <c r="M242" s="1">
        <f t="shared" si="3"/>
        <v>8</v>
      </c>
      <c r="N242" t="str" cm="1">
        <f t="array" ref="N242">_xlfn.SWITCH(M242,12,"Fix now",11,"Fix now",10,"Fix now",9,"Fix now",8,"Plan",7,"Plan",6,"Plan",5,"Plan",4,"Accept",3,"Accept",2,"Accept",1,"Accept",0,"Accept")</f>
        <v>Plan</v>
      </c>
      <c r="O242" s="5" t="s">
        <v>792</v>
      </c>
      <c r="P242" s="5" t="s">
        <v>1106</v>
      </c>
      <c r="Q242" t="s">
        <v>794</v>
      </c>
      <c r="R242" s="5" t="s">
        <v>1107</v>
      </c>
    </row>
    <row r="243" spans="1:18" ht="43.2" x14ac:dyDescent="0.3">
      <c r="A243" t="s">
        <v>707</v>
      </c>
      <c r="B243" t="s">
        <v>708</v>
      </c>
      <c r="C243" t="s">
        <v>754</v>
      </c>
      <c r="D243" t="s">
        <v>755</v>
      </c>
      <c r="E243" t="s">
        <v>98</v>
      </c>
      <c r="F243" t="s">
        <v>756</v>
      </c>
      <c r="G243" t="s">
        <v>757</v>
      </c>
      <c r="H243">
        <v>2</v>
      </c>
      <c r="I243" t="s">
        <v>758</v>
      </c>
      <c r="J243">
        <v>2</v>
      </c>
      <c r="K243" t="s">
        <v>761</v>
      </c>
      <c r="L243" t="s">
        <v>762</v>
      </c>
      <c r="M243" s="1">
        <f t="shared" si="3"/>
        <v>6</v>
      </c>
      <c r="N243" t="str" cm="1">
        <f t="array" ref="N243">_xlfn.SWITCH(M243,12,"Fix now",11,"Fix now",10,"Fix now",9,"Fix now",8,"Plan",7,"Plan",6,"Plan",5,"Plan",4,"Accept",3,"Accept",2,"Accept",1,"Accept",0,"Accept")</f>
        <v>Plan</v>
      </c>
      <c r="O243" s="5" t="s">
        <v>788</v>
      </c>
      <c r="P243" s="5" t="s">
        <v>1108</v>
      </c>
      <c r="Q243" t="s">
        <v>798</v>
      </c>
      <c r="R243" s="5" t="s">
        <v>1109</v>
      </c>
    </row>
    <row r="244" spans="1:18" ht="43.2" x14ac:dyDescent="0.3">
      <c r="A244" t="s">
        <v>707</v>
      </c>
      <c r="B244" t="s">
        <v>708</v>
      </c>
      <c r="C244" t="s">
        <v>754</v>
      </c>
      <c r="D244" t="s">
        <v>755</v>
      </c>
      <c r="E244" t="s">
        <v>98</v>
      </c>
      <c r="F244" t="s">
        <v>756</v>
      </c>
      <c r="G244" t="s">
        <v>757</v>
      </c>
      <c r="H244">
        <v>2</v>
      </c>
      <c r="I244" t="s">
        <v>758</v>
      </c>
      <c r="J244">
        <v>3</v>
      </c>
      <c r="K244" t="s">
        <v>763</v>
      </c>
      <c r="L244" t="s">
        <v>764</v>
      </c>
      <c r="M244" s="1">
        <f t="shared" si="3"/>
        <v>4</v>
      </c>
      <c r="N244" t="str" cm="1">
        <f t="array" ref="N244">_xlfn.SWITCH(M244,12,"Fix now",11,"Fix now",10,"Fix now",9,"Fix now",8,"Plan",7,"Plan",6,"Plan",5,"Plan",4,"Accept",3,"Accept",2,"Accept",1,"Accept",0,"Accept")</f>
        <v>Accept</v>
      </c>
      <c r="O244" s="5" t="s">
        <v>796</v>
      </c>
      <c r="P244" s="5" t="s">
        <v>1108</v>
      </c>
      <c r="Q244" t="s">
        <v>798</v>
      </c>
      <c r="R244" s="5" t="s">
        <v>1109</v>
      </c>
    </row>
    <row r="245" spans="1:18" ht="43.2" x14ac:dyDescent="0.3">
      <c r="A245" t="s">
        <v>707</v>
      </c>
      <c r="B245" t="s">
        <v>708</v>
      </c>
      <c r="C245" t="s">
        <v>754</v>
      </c>
      <c r="D245" t="s">
        <v>755</v>
      </c>
      <c r="E245" t="s">
        <v>98</v>
      </c>
      <c r="F245" t="s">
        <v>756</v>
      </c>
      <c r="G245" t="s">
        <v>757</v>
      </c>
      <c r="H245">
        <v>2</v>
      </c>
      <c r="I245" t="s">
        <v>758</v>
      </c>
      <c r="J245">
        <v>4</v>
      </c>
      <c r="K245" t="s">
        <v>765</v>
      </c>
      <c r="L245" t="s">
        <v>766</v>
      </c>
      <c r="M245" s="1">
        <f t="shared" si="3"/>
        <v>2</v>
      </c>
      <c r="N245" t="str" cm="1">
        <f t="array" ref="N245">_xlfn.SWITCH(M245,12,"Fix now",11,"Fix now",10,"Fix now",9,"Fix now",8,"Plan",7,"Plan",6,"Plan",5,"Plan",4,"Accept",3,"Accept",2,"Accept",1,"Accept",0,"Accept")</f>
        <v>Accept</v>
      </c>
      <c r="O245" s="5" t="s">
        <v>788</v>
      </c>
      <c r="P245" s="5" t="s">
        <v>1110</v>
      </c>
      <c r="Q245" t="s">
        <v>802</v>
      </c>
      <c r="R245" s="5" t="s">
        <v>1111</v>
      </c>
    </row>
    <row r="246" spans="1:18" ht="43.2" x14ac:dyDescent="0.3">
      <c r="A246" t="s">
        <v>707</v>
      </c>
      <c r="B246" t="s">
        <v>708</v>
      </c>
      <c r="C246" t="s">
        <v>754</v>
      </c>
      <c r="D246" t="s">
        <v>755</v>
      </c>
      <c r="E246" t="s">
        <v>98</v>
      </c>
      <c r="F246" t="s">
        <v>756</v>
      </c>
      <c r="G246" t="s">
        <v>757</v>
      </c>
      <c r="H246">
        <v>2</v>
      </c>
      <c r="I246" t="s">
        <v>758</v>
      </c>
      <c r="J246">
        <v>5</v>
      </c>
      <c r="K246" t="s">
        <v>767</v>
      </c>
      <c r="L246" t="s">
        <v>768</v>
      </c>
      <c r="M246" s="1">
        <f t="shared" si="3"/>
        <v>0</v>
      </c>
      <c r="N246" t="str" cm="1">
        <f t="array" ref="N246">_xlfn.SWITCH(M246,12,"Fix now",11,"Fix now",10,"Fix now",9,"Fix now",8,"Plan",7,"Plan",6,"Plan",5,"Plan",4,"Accept",3,"Accept",2,"Accept",1,"Accept",0,"Accept")</f>
        <v>Accept</v>
      </c>
      <c r="O246" s="5" t="s">
        <v>788</v>
      </c>
      <c r="P246" s="5" t="s">
        <v>1110</v>
      </c>
      <c r="Q246" t="s">
        <v>802</v>
      </c>
      <c r="R246" s="5" t="s">
        <v>1111</v>
      </c>
    </row>
    <row r="247" spans="1:18" ht="43.2" x14ac:dyDescent="0.3">
      <c r="A247" t="s">
        <v>707</v>
      </c>
      <c r="B247" t="s">
        <v>708</v>
      </c>
      <c r="C247" t="s">
        <v>769</v>
      </c>
      <c r="D247" t="s">
        <v>770</v>
      </c>
      <c r="E247" t="s">
        <v>98</v>
      </c>
      <c r="F247" t="s">
        <v>771</v>
      </c>
      <c r="G247" t="s">
        <v>772</v>
      </c>
      <c r="H247">
        <v>2</v>
      </c>
      <c r="I247" t="s">
        <v>773</v>
      </c>
      <c r="J247">
        <v>1</v>
      </c>
      <c r="K247" t="s">
        <v>774</v>
      </c>
      <c r="L247" t="s">
        <v>775</v>
      </c>
      <c r="M247" s="1">
        <f t="shared" si="3"/>
        <v>8</v>
      </c>
      <c r="N247" t="str" cm="1">
        <f t="array" ref="N247">_xlfn.SWITCH(M247,12,"Fix now",11,"Fix now",10,"Fix now",9,"Fix now",8,"Plan",7,"Plan",6,"Plan",5,"Plan",4,"Accept",3,"Accept",2,"Accept",1,"Accept",0,"Accept")</f>
        <v>Plan</v>
      </c>
      <c r="O247" s="5" t="s">
        <v>788</v>
      </c>
      <c r="P247" s="5" t="s">
        <v>1112</v>
      </c>
      <c r="Q247" t="s">
        <v>794</v>
      </c>
      <c r="R247" s="5" t="s">
        <v>1113</v>
      </c>
    </row>
    <row r="248" spans="1:18" ht="43.2" x14ac:dyDescent="0.3">
      <c r="A248" t="s">
        <v>707</v>
      </c>
      <c r="B248" t="s">
        <v>708</v>
      </c>
      <c r="C248" t="s">
        <v>769</v>
      </c>
      <c r="D248" t="s">
        <v>770</v>
      </c>
      <c r="E248" t="s">
        <v>98</v>
      </c>
      <c r="F248" t="s">
        <v>771</v>
      </c>
      <c r="G248" t="s">
        <v>772</v>
      </c>
      <c r="H248">
        <v>2</v>
      </c>
      <c r="I248" t="s">
        <v>773</v>
      </c>
      <c r="J248">
        <v>2</v>
      </c>
      <c r="K248" t="s">
        <v>776</v>
      </c>
      <c r="L248" t="s">
        <v>777</v>
      </c>
      <c r="M248" s="1">
        <f t="shared" si="3"/>
        <v>6</v>
      </c>
      <c r="N248" t="str" cm="1">
        <f t="array" ref="N248">_xlfn.SWITCH(M248,12,"Fix now",11,"Fix now",10,"Fix now",9,"Fix now",8,"Plan",7,"Plan",6,"Plan",5,"Plan",4,"Accept",3,"Accept",2,"Accept",1,"Accept",0,"Accept")</f>
        <v>Plan</v>
      </c>
      <c r="O248" s="5" t="s">
        <v>788</v>
      </c>
      <c r="P248" s="5" t="s">
        <v>1114</v>
      </c>
      <c r="Q248" t="s">
        <v>798</v>
      </c>
      <c r="R248" s="5" t="s">
        <v>1115</v>
      </c>
    </row>
    <row r="249" spans="1:18" ht="43.2" x14ac:dyDescent="0.3">
      <c r="A249" t="s">
        <v>707</v>
      </c>
      <c r="B249" t="s">
        <v>708</v>
      </c>
      <c r="C249" t="s">
        <v>769</v>
      </c>
      <c r="D249" t="s">
        <v>770</v>
      </c>
      <c r="E249" t="s">
        <v>98</v>
      </c>
      <c r="F249" t="s">
        <v>771</v>
      </c>
      <c r="G249" t="s">
        <v>772</v>
      </c>
      <c r="H249">
        <v>2</v>
      </c>
      <c r="I249" t="s">
        <v>773</v>
      </c>
      <c r="J249">
        <v>3</v>
      </c>
      <c r="K249" t="s">
        <v>778</v>
      </c>
      <c r="L249" t="s">
        <v>779</v>
      </c>
      <c r="M249" s="1">
        <f t="shared" si="3"/>
        <v>4</v>
      </c>
      <c r="N249" t="str" cm="1">
        <f t="array" ref="N249">_xlfn.SWITCH(M249,12,"Fix now",11,"Fix now",10,"Fix now",9,"Fix now",8,"Plan",7,"Plan",6,"Plan",5,"Plan",4,"Accept",3,"Accept",2,"Accept",1,"Accept",0,"Accept")</f>
        <v>Accept</v>
      </c>
      <c r="O249" s="5" t="s">
        <v>788</v>
      </c>
      <c r="P249" s="5" t="s">
        <v>1114</v>
      </c>
      <c r="Q249" t="s">
        <v>798</v>
      </c>
      <c r="R249" s="5" t="s">
        <v>1115</v>
      </c>
    </row>
    <row r="250" spans="1:18" ht="43.2" x14ac:dyDescent="0.3">
      <c r="A250" t="s">
        <v>707</v>
      </c>
      <c r="B250" t="s">
        <v>708</v>
      </c>
      <c r="C250" t="s">
        <v>769</v>
      </c>
      <c r="D250" t="s">
        <v>770</v>
      </c>
      <c r="E250" t="s">
        <v>98</v>
      </c>
      <c r="F250" t="s">
        <v>771</v>
      </c>
      <c r="G250" t="s">
        <v>772</v>
      </c>
      <c r="H250">
        <v>2</v>
      </c>
      <c r="I250" t="s">
        <v>773</v>
      </c>
      <c r="J250">
        <v>4</v>
      </c>
      <c r="K250" t="s">
        <v>780</v>
      </c>
      <c r="L250" t="s">
        <v>781</v>
      </c>
      <c r="M250" s="1">
        <f t="shared" si="3"/>
        <v>2</v>
      </c>
      <c r="N250" t="str" cm="1">
        <f t="array" ref="N250">_xlfn.SWITCH(M250,12,"Fix now",11,"Fix now",10,"Fix now",9,"Fix now",8,"Plan",7,"Plan",6,"Plan",5,"Plan",4,"Accept",3,"Accept",2,"Accept",1,"Accept",0,"Accept")</f>
        <v>Accept</v>
      </c>
      <c r="O250" s="5" t="s">
        <v>788</v>
      </c>
      <c r="P250" s="5" t="s">
        <v>1116</v>
      </c>
      <c r="Q250" t="s">
        <v>802</v>
      </c>
      <c r="R250" s="5" t="s">
        <v>1117</v>
      </c>
    </row>
    <row r="251" spans="1:18" ht="43.2" x14ac:dyDescent="0.3">
      <c r="A251" t="s">
        <v>707</v>
      </c>
      <c r="B251" t="s">
        <v>708</v>
      </c>
      <c r="C251" t="s">
        <v>769</v>
      </c>
      <c r="D251" t="s">
        <v>770</v>
      </c>
      <c r="E251" t="s">
        <v>98</v>
      </c>
      <c r="F251" t="s">
        <v>771</v>
      </c>
      <c r="G251" t="s">
        <v>772</v>
      </c>
      <c r="H251">
        <v>2</v>
      </c>
      <c r="I251" t="s">
        <v>773</v>
      </c>
      <c r="J251">
        <v>5</v>
      </c>
      <c r="K251" t="s">
        <v>782</v>
      </c>
      <c r="L251" t="s">
        <v>783</v>
      </c>
      <c r="M251" s="1">
        <f t="shared" si="3"/>
        <v>0</v>
      </c>
      <c r="N251" t="str" cm="1">
        <f t="array" ref="N251">_xlfn.SWITCH(M251,12,"Fix now",11,"Fix now",10,"Fix now",9,"Fix now",8,"Plan",7,"Plan",6,"Plan",5,"Plan",4,"Accept",3,"Accept",2,"Accept",1,"Accept",0,"Accept")</f>
        <v>Accept</v>
      </c>
      <c r="O251" s="5" t="s">
        <v>788</v>
      </c>
      <c r="P251" s="5" t="s">
        <v>1116</v>
      </c>
      <c r="Q251" t="s">
        <v>802</v>
      </c>
      <c r="R251" s="5" t="s">
        <v>1117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Kristína Bachová</dc:creator>
  <cp:lastModifiedBy>Kristína Bachová</cp:lastModifiedBy>
  <dcterms:created xsi:type="dcterms:W3CDTF">2026-01-28T10:19:52Z</dcterms:created>
  <dcterms:modified xsi:type="dcterms:W3CDTF">2026-02-05T20:56:01Z</dcterms:modified>
</cp:coreProperties>
</file>